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Jira Import" sheetId="2" state="visible" r:id="rId4"/>
    <sheet name="How to import" sheetId="3" state="visible" r:id="rId5"/>
  </sheets>
  <definedNames>
    <definedName function="false" hidden="true" localSheetId="1" name="_xlnm._FilterDatabase" vbProcedure="false">'Jira Import'!$A$1:$O$90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<sst xmlns="http://schemas.openxmlformats.org/spreadsheetml/2006/main" count="953" uniqueCount="348">
  <si>
    <t xml:space="preserve">By epic</t>
  </si>
  <si>
    <t xml:space="preserve">Epic ID</t>
  </si>
  <si>
    <t xml:space="preserve">Epic</t>
  </si>
  <si>
    <t xml:space="preserve">Stories</t>
  </si>
  <si>
    <t xml:space="preserve">Sub-tasks</t>
  </si>
  <si>
    <t xml:space="preserve">Story points</t>
  </si>
  <si>
    <t xml:space="preserve">Hours</t>
  </si>
  <si>
    <t xml:space="preserve">Done items</t>
  </si>
  <si>
    <t xml:space="preserve">Due</t>
  </si>
  <si>
    <t xml:space="preserve">E1</t>
  </si>
  <si>
    <t xml:space="preserve">Documentation &amp; planning</t>
  </si>
  <si>
    <t xml:space="preserve">E2</t>
  </si>
  <si>
    <t xml:space="preserve">Environment &amp; infrastructure setup</t>
  </si>
  <si>
    <t xml:space="preserve">E8</t>
  </si>
  <si>
    <t xml:space="preserve">STRETCH: Edge, nginx and subdomains</t>
  </si>
  <si>
    <t xml:space="preserve">E3</t>
  </si>
  <si>
    <t xml:space="preserve">MI common layer</t>
  </si>
  <si>
    <t xml:space="preserve">E4</t>
  </si>
  <si>
    <t xml:space="preserve">Balance API: GET /accounts/{accountNumber}/balance</t>
  </si>
  <si>
    <t xml:space="preserve">E5</t>
  </si>
  <si>
    <t xml:space="preserve">Customer API: GET /customers/{customerId}</t>
  </si>
  <si>
    <t xml:space="preserve">E6</t>
  </si>
  <si>
    <t xml:space="preserve">Loan Eligibility API: POST /loans/eligibility</t>
  </si>
  <si>
    <t xml:space="preserve">E7</t>
  </si>
  <si>
    <t xml:space="preserve">API Manager exposure</t>
  </si>
  <si>
    <t xml:space="preserve">E10</t>
  </si>
  <si>
    <t xml:space="preserve">CI/CD pipeline (Jenkins)</t>
  </si>
  <si>
    <t xml:space="preserve">E11</t>
  </si>
  <si>
    <t xml:space="preserve">Testing &amp; QA</t>
  </si>
  <si>
    <t xml:space="preserve">E9</t>
  </si>
  <si>
    <t xml:space="preserve">STRETCH: Observability, ELK</t>
  </si>
  <si>
    <t xml:space="preserve">E12</t>
  </si>
  <si>
    <t xml:space="preserve">Submission</t>
  </si>
  <si>
    <t xml:space="preserve">E13</t>
  </si>
  <si>
    <t xml:space="preserve">Bonus (optional)</t>
  </si>
  <si>
    <t xml:space="preserve">Total</t>
  </si>
  <si>
    <t xml:space="preserve">Hours count stories only; sub-task hours are a breakdown of their parent story's estimate.</t>
  </si>
  <si>
    <t xml:space="preserve">Daily load (story hours by due date)</t>
  </si>
  <si>
    <t xml:space="preserve">Day</t>
  </si>
  <si>
    <t xml:space="preserve">Date</t>
  </si>
  <si>
    <t xml:space="preserve">Stories due</t>
  </si>
  <si>
    <t xml:space="preserve">Capacity (h)</t>
  </si>
  <si>
    <t xml:space="preserve">Over / (under)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</si>
  <si>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</si>
  <si>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</si>
  <si>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</si>
  <si>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</si>
  <si>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</si>
  <si>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Mon</t>
  </si>
  <si>
    <t xml:space="preserve">Capacity (yellow): long days of 13 h Thu-Mon; Wed = 8 h docs already done + 3 h this evening. Edit to your real availability.</t>
  </si>
  <si>
    <t xml:space="preserve">Issue ID</t>
  </si>
  <si>
    <t xml:space="preserve">Issue Type</t>
  </si>
  <si>
    <t xml:space="preserve">Summary</t>
  </si>
  <si>
    <t xml:space="preserve">Description</t>
  </si>
  <si>
    <t xml:space="preserve">Parent ID</t>
  </si>
  <si>
    <t xml:space="preserve">Priority</t>
  </si>
  <si>
    <t xml:space="preserve">Labels</t>
  </si>
  <si>
    <t xml:space="preserve">Story Points</t>
  </si>
  <si>
    <t xml:space="preserve">Original Estimate (h)</t>
  </si>
  <si>
    <t xml:space="preserve">Original Estimate (s)</t>
  </si>
  <si>
    <t xml:space="preserve">Start Date</t>
  </si>
  <si>
    <t xml:space="preserve">Due Date</t>
  </si>
  <si>
    <t xml:space="preserve">Component</t>
  </si>
  <si>
    <t xml:space="preserve">Status</t>
  </si>
  <si>
    <t xml:space="preserve">Epic (rollup)</t>
  </si>
  <si>
    <t xml:space="preserve">BRD, Solution Design Document and Jira plan for the Jamii Savings integration platform.</t>
  </si>
  <si>
    <t xml:space="preserve">Highest</t>
  </si>
  <si>
    <t xml:space="preserve">docs</t>
  </si>
  <si>
    <t xml:space="preserve">Docs</t>
  </si>
  <si>
    <t xml:space="preserve">To Do</t>
  </si>
  <si>
    <t xml:space="preserve">S1.1</t>
  </si>
  <si>
    <t xml:space="preserve">Story</t>
  </si>
  <si>
    <t xml:space="preserve">Business Requirements Document v1.1</t>
  </si>
  <si>
    <t xml:space="preserve">BRD covering scope, FR/NFR, error matrix, risks, acceptance and traceability. AC: final draft approved.</t>
  </si>
  <si>
    <t xml:space="preserve">High</t>
  </si>
  <si>
    <t xml:space="preserve">Done</t>
  </si>
  <si>
    <t xml:space="preserve">S1.2</t>
  </si>
  <si>
    <t xml:space="preserve">Solution Design Document v1.1 with diagrams</t>
  </si>
  <si>
    <t xml:space="preserve">Architecture, loan sequence, pipeline and edge topology diagrams; ADR log. AC: final draft approved.</t>
  </si>
  <si>
    <t xml:space="preserve">S1.3</t>
  </si>
  <si>
    <t xml:space="preserve">Jira project plan</t>
  </si>
  <si>
    <t xml:space="preserve">This workbook: epics, stories, sub-tasks, estimates and dates. AC: imported into Jira.</t>
  </si>
  <si>
    <t xml:space="preserve">S1.4</t>
  </si>
  <si>
    <t xml:space="preserve">Create Jira project and import plan</t>
  </si>
  <si>
    <t xml:space="preserve">Create project, import CSV, check hierarchy and dates. AC: board shows all epics and stories.</t>
  </si>
  <si>
    <t xml:space="preserve">Workstation, repository, WSO2 distributions, Docker images and docker-compose stack.</t>
  </si>
  <si>
    <t xml:space="preserve">infrastructure</t>
  </si>
  <si>
    <t xml:space="preserve">Infrastructure</t>
  </si>
  <si>
    <t xml:space="preserve">S2.1</t>
  </si>
  <si>
    <t xml:space="preserve">Workstation prerequisites</t>
  </si>
  <si>
    <t xml:space="preserve">Install and verify Docker (10-12 GB RAM allocated), JDK 21, Maven 3.9, apictl, curl, jq, Git and the MI VS Code extension. AC: versions recorded in README.</t>
  </si>
  <si>
    <t xml:space="preserve">T2.1.1</t>
  </si>
  <si>
    <t xml:space="preserve">Sub-task</t>
  </si>
  <si>
    <t xml:space="preserve">Confirm supported JDK for chosen MI/APIM release</t>
  </si>
  <si>
    <t xml:space="preserve">Check release notes; set base image JDK accordingly.</t>
  </si>
  <si>
    <t xml:space="preserve">S2.2</t>
  </si>
  <si>
    <t xml:space="preserve">Git repository scaffold</t>
  </si>
  <si>
    <t xml:space="preserve">Create repo per SDD section 10; .gitignore (dist zips, certs, .env), .env.example, README skeleton; push to GitHub. AC: clean clone shows full structure.</t>
  </si>
  <si>
    <t xml:space="preserve">S2.3</t>
  </si>
  <si>
    <t xml:space="preserve">Download WSO2 APIM and MI distributions</t>
  </si>
  <si>
    <t xml:space="preserve">Download latest matching 4.4.x zips into dist/; record SHA-256 in dist/checksums.txt. AC: checksums verified.</t>
  </si>
  <si>
    <t xml:space="preserve">S2.4</t>
  </si>
  <si>
    <t xml:space="preserve">Build jamii/mi image</t>
  </si>
  <si>
    <t xml:space="preserve">Multi-stage Dockerfile from eclipse-temurin + MI zip; non-root user; H2 driver in lib; log4j2 config; additional_contexts for dist. AC: container starts, management API answers on 9164.</t>
  </si>
  <si>
    <t xml:space="preserve">S2.5</t>
  </si>
  <si>
    <t xml:space="preserve">Build jamii/apim image</t>
  </si>
  <si>
    <t xml:space="preserve">Multi-stage Dockerfile from APIM zip; deployment.toml with public hostnames, proxy port 443, ELK analytics, admin creds from env; replace default keystores. AC: Publisher and Dev Portal log in on localhost:9443.</t>
  </si>
  <si>
    <t xml:space="preserve">T2.5.1</t>
  </si>
  <si>
    <t xml:space="preserve">Configure deployment.toml for localhost</t>
  </si>
  <si>
    <t xml:space="preserve">Server hostname localhost; public hostnames and proxy port 443 are added with the nginx stretch (E8).</t>
  </si>
  <si>
    <t xml:space="preserve">T2.5.2</t>
  </si>
  <si>
    <t xml:space="preserve">Replace default keystores and admin credentials</t>
  </si>
  <si>
    <t xml:space="preserve">Project self-signed keystore; admin password from env.</t>
  </si>
  <si>
    <t xml:space="preserve">S2.6</t>
  </si>
  <si>
    <t xml:space="preserve">DB schema and seed scripts</t>
  </si>
  <si>
    <t xml:space="preserve">db/schema.sql (accounts, CHECK on status) and db/seed.sql (one account per status plus a zero balance). AC: scripts run cleanly on H2.</t>
  </si>
  <si>
    <t xml:space="preserve">S2.7</t>
  </si>
  <si>
    <t xml:space="preserve">Build jamii/h2 image</t>
  </si>
  <si>
    <t xml:space="preserve">Temurin + H2 jar; RunScript schema and seed, then TCP server on 9092; healthcheck. AC: MI datasource connects.</t>
  </si>
  <si>
    <t xml:space="preserve">S2.8</t>
  </si>
  <si>
    <t xml:space="preserve">Build jamii/wiremock image</t>
  </si>
  <si>
    <t xml:space="preserve">Stubs mirroring the Beeceptor customer rules and DNE Divide, plus fault scenarios (delay, reset, SOAP fault). AC: stubs answer on 8089 and match beeceptor-rules.json.</t>
  </si>
  <si>
    <t xml:space="preserve">S2.9</t>
  </si>
  <si>
    <t xml:space="preserve">docker-compose.yml with profiles</t>
  </si>
  <si>
    <t xml:space="preserve">Services, jamii-net network, healthchecks, depends_on; profiles core, observability, ci. AC: compose --profile core up is healthy.</t>
  </si>
  <si>
    <t xml:space="preserve">S2.10</t>
  </si>
  <si>
    <t xml:space="preserve">Local image registry and tagging</t>
  </si>
  <si>
    <t xml:space="preserve">registry:2 service; images tagged with ${TAG} (build number). AC: push and pull work.</t>
  </si>
  <si>
    <t xml:space="preserve">Stretch goal: start only after the pipeline is green. nginx as the single public entry with TLS and one subdomain per service under jamii.daqiqtech.co.ke.</t>
  </si>
  <si>
    <t xml:space="preserve">Low</t>
  </si>
  <si>
    <t xml:space="preserve">edge</t>
  </si>
  <si>
    <t xml:space="preserve">Edge</t>
  </si>
  <si>
    <t xml:space="preserve">S8.1</t>
  </si>
  <si>
    <t xml:space="preserve">Build jamii/nginx image with server blocks</t>
  </si>
  <si>
    <t xml:space="preserve">Server blocks for api., portal., apim., mi., kibana., jenkins. (dev: *.dev.jamii.daqiqtech.co.ke). AC: each host routes to its service.</t>
  </si>
  <si>
    <t xml:space="preserve">S8.2</t>
  </si>
  <si>
    <t xml:space="preserve">Wildcard TLS certificate and hosts entries</t>
  </si>
  <si>
    <t xml:space="preserve">mkcert wildcard for *.dev.jamii.daqiqtech.co.ke; /etc/hosts entries to 127.0.0.1. AC: all six hosts load over HTTPS without warnings.</t>
  </si>
  <si>
    <t xml:space="preserve">S8.3</t>
  </si>
  <si>
    <t xml:space="preserve">Access controls on admin hosts</t>
  </si>
  <si>
    <t xml:space="preserve">IP allowlist on apim., mi., kibana., jenkins.; client_max_body_size 50m on apim.; proxy_ssl_verify off for internal HTTPS. AC: non-allowlisted IP gets 403.</t>
  </si>
  <si>
    <t xml:space="preserve">S8.4</t>
  </si>
  <si>
    <t xml:space="preserve">Verify edge security</t>
  </si>
  <si>
    <t xml:space="preserve">Confirm MI 8290, Elasticsearch, H2 and registry are unreachable from outside the Docker network. AC: evidence in README.</t>
  </si>
  <si>
    <t xml:space="preserve">Shared sequences, templates and class mediator used by all three APIs.</t>
  </si>
  <si>
    <t xml:space="preserve">mi-common</t>
  </si>
  <si>
    <t xml:space="preserve">MI Common</t>
  </si>
  <si>
    <t xml:space="preserve">S3.1</t>
  </si>
  <si>
    <t xml:space="preserve">MI multi-module Maven project</t>
  </si>
  <si>
    <t xml:space="preserve">Modules: common, balance-api, customer-api, loan-api, composite. AC: mvn clean install builds a CAR.</t>
  </si>
  <si>
    <t xml:space="preserve">S3.2</t>
  </si>
  <si>
    <t xml:space="preserve">Common_InSeq: correlation ID</t>
  </si>
  <si>
    <t xml:space="preserve">Read or generate X-Correlation-ID (UUID v4); store as property; record start time. AC: ID returned on every response.</t>
  </si>
  <si>
    <t xml:space="preserve">S3.3</t>
  </si>
  <si>
    <t xml:space="preserve">MaskingMediator class mediator</t>
  </si>
  <si>
    <t xml:space="preserve">Mask account numbers (last 4) and PII fields; drop financial amounts. AC: JUnit tests pass.</t>
  </si>
  <si>
    <t xml:space="preserve">S3.4</t>
  </si>
  <si>
    <t xml:space="preserve">Common_MaskedLog template</t>
  </si>
  <si>
    <t xml:space="preserve">Logs REQUEST_IN, BACKEND_CALL, RESPONSE_OUT as key=value with masked fields. AC: three lines per request, no raw PII.</t>
  </si>
  <si>
    <t xml:space="preserve">S3.5</t>
  </si>
  <si>
    <t xml:space="preserve">Common_ErrorResponse template</t>
  </si>
  <si>
    <t xml:space="preserve">Builds standard error JSON (code, message, httpStatus, details, requestId, timestamp). AC: validates against error schema.</t>
  </si>
  <si>
    <t xml:space="preserve">S3.6</t>
  </si>
  <si>
    <t xml:space="preserve">Common_FaultSeq</t>
  </si>
  <si>
    <t xml:space="preserve">Classify timeout (504), connection (503), SQL (503 DB_UNAVAILABLE), malformed JSON (400), other (500). AC: no stack trace ever returned.</t>
  </si>
  <si>
    <t xml:space="preserve">S3.7</t>
  </si>
  <si>
    <t xml:space="preserve">Common_HeaderHygiene</t>
  </si>
  <si>
    <t xml:space="preserve">Strip X-Internal-*, Server, X-Powered-By, Set-Cookie inbound and outbound. AC: headers absent in responses.</t>
  </si>
  <si>
    <t xml:space="preserve">DB-backed API using MI Data Services over H2.</t>
  </si>
  <si>
    <t xml:space="preserve">balance-api</t>
  </si>
  <si>
    <t xml:space="preserve">Balance API</t>
  </si>
  <si>
    <t xml:space="preserve">S4.1</t>
  </si>
  <si>
    <t xml:space="preserve">Datasource JamiiAccountsDS</t>
  </si>
  <si>
    <t xml:space="preserve">JDBC pool to jdbc:h2:tcp://h2:9092/jamii; credentials from env. AC: pool connects at startup.</t>
  </si>
  <si>
    <t xml:space="preserve">S4.2</t>
  </si>
  <si>
    <t xml:space="preserve">AccountsDataService parameterised query</t>
  </si>
  <si>
    <t xml:space="preserve">getAccountByNumber with a bound parameter. AC: no string-built SQL.</t>
  </si>
  <si>
    <t xml:space="preserve">S4.3</t>
  </si>
  <si>
    <t xml:space="preserve">BalanceAPI resource and envelope</t>
  </si>
  <si>
    <t xml:space="preserve">Regex validation (400), envelope via PayloadFactory, 404 ACCOUNT_NOT_FOUND, 503 DB_UNAVAILABLE. AC: matches BRD 8.2 envelope.</t>
  </si>
  <si>
    <t xml:space="preserve">S4.4</t>
  </si>
  <si>
    <t xml:space="preserve">Balance API unit tests</t>
  </si>
  <si>
    <t xml:space="preserve">MI unit test suite for 200, 400, 404 against the H2 container. AC: tests run in mvn build.</t>
  </si>
  <si>
    <t xml:space="preserve">Managed proxy in front of a Beeceptor mock endpoint with gateway value; WireMock mirror for CI.</t>
  </si>
  <si>
    <t xml:space="preserve">customer-api</t>
  </si>
  <si>
    <t xml:space="preserve">Customer API</t>
  </si>
  <si>
    <t xml:space="preserve">S5.1</t>
  </si>
  <si>
    <t xml:space="preserve">CustomerBackendEP</t>
  </si>
  <si>
    <t xml:space="preserve">HTTP endpoint with 5 s timeout and configurable base URL (Beeceptor for demo, WireMock for CI). AC: switch backend by env var only.</t>
  </si>
  <si>
    <t xml:space="preserve">S5.0</t>
  </si>
  <si>
    <t xml:space="preserve">Beeceptor endpoint and rules</t>
  </si>
  <si>
    <t xml:space="preserve">Create the Beeceptor endpoint; rules for /customers/1001-1005 (200, bank-shaped records with national ID, +254 phone, KYC status), 9999 (404), 5000 (500), 5004 (7 s delay); export to mocks/beeceptor-rules.json; check free-tier quota. AC: all four rules answer; export committed.</t>
  </si>
  <si>
    <t xml:space="preserve">S5.2</t>
  </si>
  <si>
    <t xml:space="preserve">CustomerAPI resource</t>
  </si>
  <si>
    <t xml:space="preserve">Validation (400), header hygiene, correlation ID, 404 CUSTOMER_NOT_FOUND, 504 timeout, 503 unavailable via fault sequence. AC: all paths return the standard error body.</t>
  </si>
  <si>
    <t xml:space="preserve">S5.3</t>
  </si>
  <si>
    <t xml:space="preserve">Customer API tests</t>
  </si>
  <si>
    <t xml:space="preserve">MI unit test suite with a mock service for CustomerBackendEP (200, 404, 5xx); WireMock delay for 504. AC: 404, 503 and 504 proven.</t>
  </si>
  <si>
    <t xml:space="preserve">REST/JSON to SOAP (DNE Calculator Divide) with fault mapping.</t>
  </si>
  <si>
    <t xml:space="preserve">loan-api</t>
  </si>
  <si>
    <t xml:space="preserve">Loan API</t>
  </si>
  <si>
    <t xml:space="preserve">S6.1</t>
  </si>
  <si>
    <t xml:space="preserve">Request JSON schema and validation</t>
  </si>
  <si>
    <t xml:space="preserve">loan-request.schema.json via Validate mediator; 400 with field details. AC: missing or wrong-typed fields return 400.</t>
  </si>
  <si>
    <t xml:space="preserve">S6.2</t>
  </si>
  <si>
    <t xml:space="preserve">JSON to SOAP Divide mapping</t>
  </si>
  <si>
    <t xml:space="preserve">intA = (existingMonthlyDebt + requestedMonthlyInstalment) x 100; intB = monthlyIncome. AC: correct SOAP envelope logged (masked).</t>
  </si>
  <si>
    <t xml:space="preserve">S6.3</t>
  </si>
  <si>
    <t xml:space="preserve">SOAP to JSON decision</t>
  </si>
  <si>
    <t xml:space="preserve">DivideResult = DTI %; ELIGIBLE when 40 or less; response per SDD 4.3. AC: clean JSON, no XML.</t>
  </si>
  <si>
    <t xml:space="preserve">S6.4</t>
  </si>
  <si>
    <t xml:space="preserve">SOAP fault and transport error mapping</t>
  </si>
  <si>
    <t xml:space="preserve">Divide-by-zero fault -&gt; 422 ELIGIBILITY_REJECTED; other faults -&gt; 502; 10 s timeout -&gt; 504; unreachable -&gt; 503. AC: no SOAP XML ever reaches the client.</t>
  </si>
  <si>
    <t xml:space="preserve">S6.5</t>
  </si>
  <si>
    <t xml:space="preserve">Loan API tests</t>
  </si>
  <si>
    <t xml:space="preserve">MI unit test suite with a mock service returning DivideResult and SOAP faults; WireMock delay for 504. AC: 200, 400, 422, 502, 504 proven.</t>
  </si>
  <si>
    <t xml:space="preserve">S6.6</t>
  </si>
  <si>
    <t xml:space="preserve">Bake CARs into jamii/mi image</t>
  </si>
  <si>
    <t xml:space="preserve">Build CARs, copy into image, redeploy; verify all three APIs live on MI. AC: MI management API lists 3 APIs.</t>
  </si>
  <si>
    <t xml:space="preserve">OpenAPI, security, tiers, mediation policy, API Product and Developer Portal for all three APIs.</t>
  </si>
  <si>
    <t xml:space="preserve">api-manager</t>
  </si>
  <si>
    <t xml:space="preserve">API Manager</t>
  </si>
  <si>
    <t xml:space="preserve">S7.1</t>
  </si>
  <si>
    <t xml:space="preserve">OpenAPI 3.0 definitions x3</t>
  </si>
  <si>
    <t xml:space="preserve">Paths, parameter patterns, request/response schemas, all error responses via shared ErrorResponse. AC: spectral lint clean.</t>
  </si>
  <si>
    <t xml:space="preserve">S7.2</t>
  </si>
  <si>
    <t xml:space="preserve">Custom tier LoanCheck-10PerMin</t>
  </si>
  <si>
    <t xml:space="preserve">Subscription tier for the Loan API. AC: tier visible in Publisher.</t>
  </si>
  <si>
    <t xml:space="preserve">S7.3</t>
  </si>
  <si>
    <t xml:space="preserve">apictl projects x3</t>
  </si>
  <si>
    <t xml:space="preserve">api.yaml, OAS, endpoints via api_params.yaml (dev/prod); OAuth2 (Balance, Loan), API Key (Customer); Gold / LoanCheck tiers. AC: apictl import succeeds for all three.</t>
  </si>
  <si>
    <t xml:space="preserve">S7.4</t>
  </si>
  <si>
    <t xml:space="preserve">Custom policy jamii-gateway-context</t>
  </si>
  <si>
    <t xml:space="preserve">Operation policy (.j2 + .yaml) on Balance API: inject X-Correlation-ID and X-Channel, strip Authorization. AC: headers visible in MI logs.</t>
  </si>
  <si>
    <t xml:space="preserve">S7.5</t>
  </si>
  <si>
    <t xml:space="preserve">API Product Jamii Retail Banking</t>
  </si>
  <si>
    <t xml:space="preserve">Bundle all three APIs; OAuth2, Gold tier. AC: one subscription grants access to all three.</t>
  </si>
  <si>
    <t xml:space="preserve">S7.6</t>
  </si>
  <si>
    <t xml:space="preserve">apictl environments and publish</t>
  </si>
  <si>
    <t xml:space="preserve">Add dev env (localhost) and prod env (placeholder hostnames); import, publish, generate keys, call the gateway on localhost:8243. AC: 401 without token, 200 with token.</t>
  </si>
  <si>
    <t xml:space="preserve">S7.7</t>
  </si>
  <si>
    <t xml:space="preserve">Developer Portal onboarding guide</t>
  </si>
  <si>
    <t xml:space="preserve">README section with steps and screenshots for discover, subscribe, generate keys, call. AC: a new app can follow it unaided.</t>
  </si>
  <si>
    <t xml:space="preserve">One declarative Jenkinsfile for all three APIs with dev and prod stages and rollback.</t>
  </si>
  <si>
    <t xml:space="preserve">ci/cd</t>
  </si>
  <si>
    <t xml:space="preserve">CI/CD</t>
  </si>
  <si>
    <t xml:space="preserve">S10.1</t>
  </si>
  <si>
    <t xml:space="preserve">Build jamii/jenkins image</t>
  </si>
  <si>
    <t xml:space="preserve">JDK 21, Maven, apictl, curl, jq, Docker CLI, plugins.txt; MI unpacked from the dist volume for unit tests. AC: Jenkins reachable on localhost:8080.</t>
  </si>
  <si>
    <t xml:space="preserve">S10.2</t>
  </si>
  <si>
    <t xml:space="preserve">Jenkins credentials and job</t>
  </si>
  <si>
    <t xml:space="preserve">APIM admin, DB, registry credentials; pipeline job from Git; dist volume mounted. AC: job checks out repo.</t>
  </si>
  <si>
    <t xml:space="preserve">S10.3</t>
  </si>
  <si>
    <t xml:space="preserve">Jenkinsfile: validate and build stages</t>
  </si>
  <si>
    <t xml:space="preserve">Checkout, Validate (xmllint, spectral, apictl), Build MI (mvn + unit tests), build and push all images; loop over APIS list. AC: green build to registry.</t>
  </si>
  <si>
    <t xml:space="preserve">S10.4</t>
  </si>
  <si>
    <t xml:space="preserve">Jenkinsfile: package APIM stage</t>
  </si>
  <si>
    <t xml:space="preserve">Package three apictl projects and the product as artifacts. AC: archives archived per build.</t>
  </si>
  <si>
    <t xml:space="preserve">S10.5</t>
  </si>
  <si>
    <t xml:space="preserve">Jenkinsfile: deploy dev stage</t>
  </si>
  <si>
    <t xml:space="preserve">Save rollback point (current tag + exported APIs), swap MI image, wait for health, apictl import loop with set -e. AC: all three updated or none.</t>
  </si>
  <si>
    <t xml:space="preserve">S10.6</t>
  </si>
  <si>
    <t xml:space="preserve">Jenkinsfile: test dev stage</t>
  </si>
  <si>
    <t xml:space="preserve">gateway-check.sh (401, 200, 429, product subscription) and masked-log grep. AC: any failure fails the build.</t>
  </si>
  <si>
    <t xml:space="preserve">S10.7</t>
  </si>
  <si>
    <t xml:space="preserve">Rollback on failure</t>
  </si>
  <si>
    <t xml:space="preserve">post { failure } runs rollback.sh: previous MI image and re-import previous API archives. AC: forced failure leaves dev unchanged.</t>
  </si>
  <si>
    <t xml:space="preserve">S10.8</t>
  </si>
  <si>
    <t xml:space="preserve">Prod stage with approval</t>
  </si>
  <si>
    <t xml:space="preserve">input approval; same artifacts; apictl env prod (dry run). AC: stage pauses for approval.</t>
  </si>
  <si>
    <t xml:space="preserve">S10.9</t>
  </si>
  <si>
    <t xml:space="preserve">Prove no partial deploy</t>
  </si>
  <si>
    <t xml:space="preserve">Break one API import deliberately; capture failed run and rollback evidence. AC: screenshots in README.</t>
  </si>
  <si>
    <t xml:space="preserve">Functional, contract, throttling, fault and masking tests.</t>
  </si>
  <si>
    <t xml:space="preserve">testing</t>
  </si>
  <si>
    <t xml:space="preserve">Testing</t>
  </si>
  <si>
    <t xml:space="preserve">S11.1</t>
  </si>
  <si>
    <t xml:space="preserve">MI unit test runtime in CI</t>
  </si>
  <si>
    <t xml:space="preserve">Configure the MI unit test plugin to run against MI unpacked from dist/ on the Jenkins agent; H2 container available for Balance tests. AC: mvn clean install runs all MI test suites in Jenkins.</t>
  </si>
  <si>
    <t xml:space="preserve">S11.2</t>
  </si>
  <si>
    <t xml:space="preserve">Error contract assertions</t>
  </si>
  <si>
    <t xml:space="preserve">JSON-path assertions ($.error.code, $.error.httpStatus, $.requestId, $.timestamp) in every MI error test. AC: all three APIs pass.</t>
  </si>
  <si>
    <t xml:space="preserve">S11.3</t>
  </si>
  <si>
    <t xml:space="preserve">gateway-check.sh</t>
  </si>
  <si>
    <t xml:space="preserve">curl script with exit codes: 401 without token, 200 with token, 429 past LoanCheck-10PerMin, product subscription grants all three APIs. AC: script fails on any mismatch.</t>
  </si>
  <si>
    <t xml:space="preserve">S11.4</t>
  </si>
  <si>
    <t xml:space="preserve">Fault drills</t>
  </si>
  <si>
    <t xml:space="preserve">Stop H2 -&gt; 503; WireMock delay -&gt; 504; SOAP fault -&gt; 422. AC: all observed and recorded.</t>
  </si>
  <si>
    <t xml:space="preserve">S11.5</t>
  </si>
  <si>
    <t xml:space="preserve">Log masking verification</t>
  </si>
  <si>
    <t xml:space="preserve">grep MI logs for full account numbers or PII (Elasticsearch check added if ELK stretch is done). AC: zero hits.</t>
  </si>
  <si>
    <t xml:space="preserve">Stretch goal: start only after the pipeline is green. Filebeat, Logstash, Elasticsearch and Kibana with dashboards and correlation-ID tracing.</t>
  </si>
  <si>
    <t xml:space="preserve">observability</t>
  </si>
  <si>
    <t xml:space="preserve">Observability</t>
  </si>
  <si>
    <t xml:space="preserve">S9.1</t>
  </si>
  <si>
    <t xml:space="preserve">Elasticsearch and Kibana services</t>
  </si>
  <si>
    <t xml:space="preserve">Security on (password from .env), heap caps, healthchecks. AC: Kibana loads at kibana.dev host.</t>
  </si>
  <si>
    <t xml:space="preserve">S9.2</t>
  </si>
  <si>
    <t xml:space="preserve">Build jamii/filebeat image</t>
  </si>
  <si>
    <t xml:space="preserve">Inputs for MI logs and APIM apim_metrics.log on shared volumes. AC: events reach Logstash.</t>
  </si>
  <si>
    <t xml:space="preserve">S9.3</t>
  </si>
  <si>
    <t xml:space="preserve">Build jamii/logstash image and pipeline</t>
  </si>
  <si>
    <t xml:space="preserve">kv for MI, json for APIM, date, re-mask regex, routing to jamii-mi-* and jamii-apim-analytics-*. AC: fields parsed.</t>
  </si>
  <si>
    <t xml:space="preserve">S9.4</t>
  </si>
  <si>
    <t xml:space="preserve">Kibana dashboard and kibana-setup image</t>
  </si>
  <si>
    <t xml:space="preserve">Data views plus 5 panels (requests, error rate, p95 latency, 429s, trace search); ndjson imported at start; 7-day ILM. AC: dashboard populated after test run.</t>
  </si>
  <si>
    <t xml:space="preserve">S9.5</t>
  </si>
  <si>
    <t xml:space="preserve">End-to-end trace check</t>
  </si>
  <si>
    <t xml:space="preserve">Trace one request by correlation ID across APIM and MI. AC: screenshot for README and video.</t>
  </si>
  <si>
    <t xml:space="preserve">README, docs export, presentation, demo video and repository submission.</t>
  </si>
  <si>
    <t xml:space="preserve">submission</t>
  </si>
  <si>
    <t xml:space="preserve">S12.1</t>
  </si>
  <si>
    <t xml:space="preserve">README.md</t>
  </si>
  <si>
    <t xml:space="preserve">Architecture decisions and trade-offs, what with more time, assumptions, how to run locally (half to one page). AC: clean clone runs by following it.</t>
  </si>
  <si>
    <t xml:space="preserve">S12.2</t>
  </si>
  <si>
    <t xml:space="preserve">Export BRD and SDD to docs/</t>
  </si>
  <si>
    <t xml:space="preserve">PDF exports committed under docs/. AC: links in README.</t>
  </si>
  <si>
    <t xml:space="preserve">S12.3</t>
  </si>
  <si>
    <t xml:space="preserve">Presentation deck</t>
  </si>
  <si>
    <t xml:space="preserve">Problem, architecture, three APIs, APIM, pipeline, trade-offs, next steps (observability and edge if stretch done). AC: rehearsed in under 10 minutes.</t>
  </si>
  <si>
    <t xml:space="preserve">S12.4</t>
  </si>
  <si>
    <t xml:space="preserve">Demo script and dry run</t>
  </si>
  <si>
    <t xml:space="preserve">Script one live call per API plus failure paths (Kibana trace if ELK stretch done). AC: fits 5 minutes.</t>
  </si>
  <si>
    <t xml:space="preserve">S12.5</t>
  </si>
  <si>
    <t xml:space="preserve">Record 5-minute screen recording</t>
  </si>
  <si>
    <t xml:space="preserve">Live call to each of the three APIs through the gateway. AC: video linked in README.</t>
  </si>
  <si>
    <t xml:space="preserve">S12.6</t>
  </si>
  <si>
    <t xml:space="preserve">Final repo check and submit</t>
  </si>
  <si>
    <t xml:space="preserve">Fresh clone, compose up, MI unit tests and gateway-check.sh green, secrets scan; submit Git link. AC: submitted by 12 Oct.</t>
  </si>
  <si>
    <t xml:space="preserve">Only after every core acceptance criterion passes.</t>
  </si>
  <si>
    <t xml:space="preserve">bonus</t>
  </si>
  <si>
    <t xml:space="preserve">Bonus</t>
  </si>
  <si>
    <t xml:space="preserve">S13.1</t>
  </si>
  <si>
    <t xml:space="preserve">Bonus A: customer dashboard aggregation</t>
  </si>
  <si>
    <t xml:space="preserve">Scatter-gather Customer + Balance in parallel; partial data with failed section flagged; 503 if both fail.</t>
  </si>
  <si>
    <t xml:space="preserve">S13.2</t>
  </si>
  <si>
    <t xml:space="preserve">Bonus B: RabbitMQ loan events with DLQ</t>
  </si>
  <si>
    <t xml:space="preserve">Inbound consumer, transform, call Loan API, publish decision; DLQ for malformed messages; 3 retries with backoff.</t>
  </si>
  <si>
    <t xml:space="preserve">How to import into Jira</t>
  </si>
  <si>
    <t xml:space="preserve">1. Jira imports CSV, not .xlsx. Use the companion file jamii-jira-import.csv (same rows, computed values).</t>
  </si>
  <si>
    <t xml:space="preserve">2. Jira: Settings (cog) &gt; System &gt; External System Import &gt; CSV (company-managed), or Project &gt; Import work items (team-managed).</t>
  </si>
  <si>
    <t xml:space="preserve">3. Date format setting: yyyy-MM-dd. File encoding: UTF-8.</t>
  </si>
  <si>
    <t xml:space="preserve">4. Field mapping: Issue ID &gt; Issue Id; Parent ID &gt; Parent Id; Issue Type, Summary, Description, Priority, Labels, Component, Status, Due Date, Start Date as named; Story Points &gt; Story point estimate; Original Estimate (s) &gt; Original Estimate.</t>
  </si>
  <si>
    <t xml:space="preserve">5. Do not map 'Original Estimate (h)' or 'Epic (rollup)'; they exist for this workbook's Summary sheet.</t>
  </si>
  <si>
    <t xml:space="preserve">6. Status 'Done' only imports if your workflow has a Done status; otherwise map it to the nearest status.</t>
  </si>
  <si>
    <t xml:space="preserve">7. If Components do not exist in the project yet, let the importer create them or create them first.</t>
  </si>
  <si>
    <t xml:space="preserve">Editing</t>
  </si>
  <si>
    <t xml:space="preserve">Edit rows on 'Jira Import'. The Summary sheet recalculates. Yellow cells on Summary are the only manual inputs.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</si>
</sst>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n">
        <f aca="false">COUNTIFS('Jira Import'!$O:$O,A3,'Jira Import'!$B:$B,"Story")</f>
        <v>4</v>
      </c>
      <c r="D3" s="2" t="n">
        <f aca="false">COUNTIFS('Jira Import'!$O:$O,A3,'Jira Import'!$B:$B,"Sub-task")</f>
        <v>0</v>
      </c>
      <c r="E3" s="2" t="n">
        <f aca="false">SUMIFS('Jira Import'!$H:$H,'Jira Import'!$O:$O,A3)</f>
        <v>10</v>
      </c>
      <c r="F3" s="2" t="n">
        <f aca="false">SUMIFS('Jira Import'!$I:$I,'Jira Import'!$O:$O,A3,'Jira Import'!$B:$B,"Story")</f>
        <v>8.5</v>
      </c>
      <c r="G3" s="2" t="n">
        <f aca="false">COUNTIFS('Jira Import'!$O:$O,A3,'Jira Import'!$N:$N,"Done",'Jira Import'!$B:$B,"Story")</f>
        <v>3</v>
      </c>
      <c r="H3" s="4" t="n">
        <f aca="false">IF(INDEX('Jira Import'!$L:$L,MATCH(A3,'Jira Import'!$A:$A,0))="","",INDEX('Jira Import'!$L:$L,MATCH(A3,'Jira Import'!$A:$A,0)))</f>
        <v>46302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n">
        <f aca="false">COUNTIFS('Jira Import'!$O:$O,A4,'Jira Import'!$B:$B,"Story")</f>
        <v>10</v>
      </c>
      <c r="D4" s="2" t="n">
        <f aca="false">COUNTIFS('Jira Import'!$O:$O,A4,'Jira Import'!$B:$B,"Sub-task")</f>
        <v>3</v>
      </c>
      <c r="E4" s="2" t="n">
        <f aca="false">SUMIFS('Jira Import'!$H:$H,'Jira Import'!$O:$O,A4)</f>
        <v>21</v>
      </c>
      <c r="F4" s="2" t="n">
        <f aca="false">SUMIFS('Jira Import'!$I:$I,'Jira Import'!$O:$O,A4,'Jira Import'!$B:$B,"Story")</f>
        <v>12.5</v>
      </c>
      <c r="G4" s="2" t="n">
        <f aca="false">COUNTIFS('Jira Import'!$O:$O,A4,'Jira Import'!$N:$N,"Done",'Jira Import'!$B:$B,"Story")</f>
        <v>0</v>
      </c>
      <c r="H4" s="4" t="n">
        <f aca="false">IF(INDEX('Jira Import'!$L:$L,MATCH(A4,'Jira Import'!$A:$A,0))="","",INDEX('Jira Import'!$L:$L,MATCH(A4,'Jira Import'!$A:$A,0)))</f>
        <v>46303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n">
        <f aca="false">COUNTIFS('Jira Import'!$O:$O,A5,'Jira Import'!$B:$B,"Story")</f>
        <v>4</v>
      </c>
      <c r="D5" s="2" t="n">
        <f aca="false">COUNTIFS('Jira Import'!$O:$O,A5,'Jira Import'!$B:$B,"Sub-task")</f>
        <v>0</v>
      </c>
      <c r="E5" s="2" t="n">
        <f aca="false">SUMIFS('Jira Import'!$H:$H,'Jira Import'!$O:$O,A5)</f>
        <v>7</v>
      </c>
      <c r="F5" s="2" t="n">
        <f aca="false">SUMIFS('Jira Import'!$I:$I,'Jira Import'!$O:$O,A5,'Jira Import'!$B:$B,"Story")</f>
        <v>3.5</v>
      </c>
      <c r="G5" s="2" t="n">
        <f aca="false">COUNTIFS('Jira Import'!$O:$O,A5,'Jira Import'!$N:$N,"Done",'Jira Import'!$B:$B,"Story")</f>
        <v>0</v>
      </c>
      <c r="H5" s="4" t="str">
        <f aca="false">IF(INDEX('Jira Import'!$L:$L,MATCH(A5,'Jira Import'!$A:$A,0))="","",INDEX('Jira Import'!$L:$L,MATCH(A5,'Jira Import'!$A:$A,0)))</f>
        <v/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n">
        <f aca="false">COUNTIFS('Jira Import'!$O:$O,A6,'Jira Import'!$B:$B,"Story")</f>
        <v>7</v>
      </c>
      <c r="D6" s="2" t="n">
        <f aca="false">COUNTIFS('Jira Import'!$O:$O,A6,'Jira Import'!$B:$B,"Sub-task")</f>
        <v>0</v>
      </c>
      <c r="E6" s="2" t="n">
        <f aca="false">SUMIFS('Jira Import'!$H:$H,'Jira Import'!$O:$O,A6)</f>
        <v>14</v>
      </c>
      <c r="F6" s="2" t="n">
        <f aca="false">SUMIFS('Jira Import'!$I:$I,'Jira Import'!$O:$O,A6,'Jira Import'!$B:$B,"Story")</f>
        <v>7</v>
      </c>
      <c r="G6" s="2" t="n">
        <f aca="false">COUNTIFS('Jira Import'!$O:$O,A6,'Jira Import'!$N:$N,"Done",'Jira Import'!$B:$B,"Story")</f>
        <v>0</v>
      </c>
      <c r="H6" s="4" t="n">
        <f aca="false">IF(INDEX('Jira Import'!$L:$L,MATCH(A6,'Jira Import'!$A:$A,0))="","",INDEX('Jira Import'!$L:$L,MATCH(A6,'Jira Import'!$A:$A,0)))</f>
        <v>46304</v>
      </c>
    </row>
    <row r="7" customFormat="false" ht="15" hidden="false" customHeight="false" outlineLevel="0" collapsed="false">
      <c r="A7" s="2" t="s">
        <v>17</v>
      </c>
      <c r="B7" s="2" t="s">
        <v>18</v>
      </c>
      <c r="C7" s="2" t="n">
        <f aca="false">COUNTIFS('Jira Import'!$O:$O,A7,'Jira Import'!$B:$B,"Story")</f>
        <v>4</v>
      </c>
      <c r="D7" s="2" t="n">
        <f aca="false">COUNTIFS('Jira Import'!$O:$O,A7,'Jira Import'!$B:$B,"Sub-task")</f>
        <v>0</v>
      </c>
      <c r="E7" s="2" t="n">
        <f aca="false">SUMIFS('Jira Import'!$H:$H,'Jira Import'!$O:$O,A7)</f>
        <v>8</v>
      </c>
      <c r="F7" s="2" t="n">
        <f aca="false">SUMIFS('Jira Import'!$I:$I,'Jira Import'!$O:$O,A7,'Jira Import'!$B:$B,"Story")</f>
        <v>4.5</v>
      </c>
      <c r="G7" s="2" t="n">
        <f aca="false">COUNTIFS('Jira Import'!$O:$O,A7,'Jira Import'!$N:$N,"Done",'Jira Import'!$B:$B,"Story")</f>
        <v>0</v>
      </c>
      <c r="H7" s="4" t="n">
        <f aca="false">IF(INDEX('Jira Import'!$L:$L,MATCH(A7,'Jira Import'!$A:$A,0))="","",INDEX('Jira Import'!$L:$L,MATCH(A7,'Jira Import'!$A:$A,0)))</f>
        <v>46304</v>
      </c>
    </row>
    <row r="8" customFormat="false" ht="15" hidden="false" customHeight="false" outlineLevel="0" collapsed="false">
      <c r="A8" s="2" t="s">
        <v>19</v>
      </c>
      <c r="B8" s="2" t="s">
        <v>20</v>
      </c>
      <c r="C8" s="2" t="n">
        <f aca="false">COUNTIFS('Jira Import'!$O:$O,A8,'Jira Import'!$B:$B,"Story")</f>
        <v>4</v>
      </c>
      <c r="D8" s="2" t="n">
        <f aca="false">COUNTIFS('Jira Import'!$O:$O,A8,'Jira Import'!$B:$B,"Sub-task")</f>
        <v>0</v>
      </c>
      <c r="E8" s="2" t="n">
        <f aca="false">SUMIFS('Jira Import'!$H:$H,'Jira Import'!$O:$O,A8)</f>
        <v>7</v>
      </c>
      <c r="F8" s="2" t="n">
        <f aca="false">SUMIFS('Jira Import'!$I:$I,'Jira Import'!$O:$O,A8,'Jira Import'!$B:$B,"Story")</f>
        <v>4</v>
      </c>
      <c r="G8" s="2" t="n">
        <f aca="false">COUNTIFS('Jira Import'!$O:$O,A8,'Jira Import'!$N:$N,"Done",'Jira Import'!$B:$B,"Story")</f>
        <v>0</v>
      </c>
      <c r="H8" s="4" t="n">
        <f aca="false">IF(INDEX('Jira Import'!$L:$L,MATCH(A8,'Jira Import'!$A:$A,0))="","",INDEX('Jira Import'!$L:$L,MATCH(A8,'Jira Import'!$A:$A,0)))</f>
        <v>46304</v>
      </c>
    </row>
    <row r="9" customFormat="false" ht="15" hidden="false" customHeight="false" outlineLevel="0" collapsed="false">
      <c r="A9" s="2" t="s">
        <v>21</v>
      </c>
      <c r="B9" s="2" t="s">
        <v>22</v>
      </c>
      <c r="C9" s="2" t="n">
        <f aca="false">COUNTIFS('Jira Import'!$O:$O,A9,'Jira Import'!$B:$B,"Story")</f>
        <v>6</v>
      </c>
      <c r="D9" s="2" t="n">
        <f aca="false">COUNTIFS('Jira Import'!$O:$O,A9,'Jira Import'!$B:$B,"Sub-task")</f>
        <v>0</v>
      </c>
      <c r="E9" s="2" t="n">
        <f aca="false">SUMIFS('Jira Import'!$H:$H,'Jira Import'!$O:$O,A9)</f>
        <v>14</v>
      </c>
      <c r="F9" s="2" t="n">
        <f aca="false">SUMIFS('Jira Import'!$I:$I,'Jira Import'!$O:$O,A9,'Jira Import'!$B:$B,"Story")</f>
        <v>7</v>
      </c>
      <c r="G9" s="2" t="n">
        <f aca="false">COUNTIFS('Jira Import'!$O:$O,A9,'Jira Import'!$N:$N,"Done",'Jira Import'!$B:$B,"Story")</f>
        <v>0</v>
      </c>
      <c r="H9" s="4" t="n">
        <f aca="false">IF(INDEX('Jira Import'!$L:$L,MATCH(A9,'Jira Import'!$A:$A,0))="","",INDEX('Jira Import'!$L:$L,MATCH(A9,'Jira Import'!$A:$A,0)))</f>
        <v>46305</v>
      </c>
    </row>
    <row r="10" customFormat="false" ht="15" hidden="false" customHeight="false" outlineLevel="0" collapsed="false">
      <c r="A10" s="2" t="s">
        <v>23</v>
      </c>
      <c r="B10" s="2" t="s">
        <v>24</v>
      </c>
      <c r="C10" s="2" t="n">
        <f aca="false">COUNTIFS('Jira Import'!$O:$O,A10,'Jira Import'!$B:$B,"Story")</f>
        <v>7</v>
      </c>
      <c r="D10" s="2" t="n">
        <f aca="false">COUNTIFS('Jira Import'!$O:$O,A10,'Jira Import'!$B:$B,"Sub-task")</f>
        <v>0</v>
      </c>
      <c r="E10" s="2" t="n">
        <f aca="false">SUMIFS('Jira Import'!$H:$H,'Jira Import'!$O:$O,A10)</f>
        <v>17</v>
      </c>
      <c r="F10" s="2" t="n">
        <f aca="false">SUMIFS('Jira Import'!$I:$I,'Jira Import'!$O:$O,A10,'Jira Import'!$B:$B,"Story")</f>
        <v>9.5</v>
      </c>
      <c r="G10" s="2" t="n">
        <f aca="false">COUNTIFS('Jira Import'!$O:$O,A10,'Jira Import'!$N:$N,"Done",'Jira Import'!$B:$B,"Story")</f>
        <v>0</v>
      </c>
      <c r="H10" s="4" t="n">
        <f aca="false">IF(INDEX('Jira Import'!$L:$L,MATCH(A10,'Jira Import'!$A:$A,0))="","",INDEX('Jira Import'!$L:$L,MATCH(A10,'Jira Import'!$A:$A,0)))</f>
        <v>46306</v>
      </c>
    </row>
    <row r="11" customFormat="false" ht="15" hidden="false" customHeight="false" outlineLevel="0" collapsed="false">
      <c r="A11" s="2" t="s">
        <v>25</v>
      </c>
      <c r="B11" s="2" t="s">
        <v>26</v>
      </c>
      <c r="C11" s="2" t="n">
        <f aca="false">COUNTIFS('Jira Import'!$O:$O,A11,'Jira Import'!$B:$B,"Story")</f>
        <v>9</v>
      </c>
      <c r="D11" s="2" t="n">
        <f aca="false">COUNTIFS('Jira Import'!$O:$O,A11,'Jira Import'!$B:$B,"Sub-task")</f>
        <v>0</v>
      </c>
      <c r="E11" s="2" t="n">
        <f aca="false">SUMIFS('Jira Import'!$H:$H,'Jira Import'!$O:$O,A11)</f>
        <v>22</v>
      </c>
      <c r="F11" s="2" t="n">
        <f aca="false">SUMIFS('Jira Import'!$I:$I,'Jira Import'!$O:$O,A11,'Jira Import'!$B:$B,"Story")</f>
        <v>10.5</v>
      </c>
      <c r="G11" s="2" t="n">
        <f aca="false">COUNTIFS('Jira Import'!$O:$O,A11,'Jira Import'!$N:$N,"Done",'Jira Import'!$B:$B,"Story")</f>
        <v>0</v>
      </c>
      <c r="H11" s="4" t="n">
        <f aca="false">IF(INDEX('Jira Import'!$L:$L,MATCH(A11,'Jira Import'!$A:$A,0))="","",INDEX('Jira Import'!$L:$L,MATCH(A11,'Jira Import'!$A:$A,0)))</f>
        <v>46307</v>
      </c>
    </row>
    <row r="12" customFormat="false" ht="15" hidden="false" customHeight="false" outlineLevel="0" collapsed="false">
      <c r="A12" s="2" t="s">
        <v>27</v>
      </c>
      <c r="B12" s="2" t="s">
        <v>28</v>
      </c>
      <c r="C12" s="2" t="n">
        <f aca="false">COUNTIFS('Jira Import'!$O:$O,A12,'Jira Import'!$B:$B,"Story")</f>
        <v>5</v>
      </c>
      <c r="D12" s="2" t="n">
        <f aca="false">COUNTIFS('Jira Import'!$O:$O,A12,'Jira Import'!$B:$B,"Sub-task")</f>
        <v>0</v>
      </c>
      <c r="E12" s="2" t="n">
        <f aca="false">SUMIFS('Jira Import'!$H:$H,'Jira Import'!$O:$O,A12)</f>
        <v>8</v>
      </c>
      <c r="F12" s="2" t="n">
        <f aca="false">SUMIFS('Jira Import'!$I:$I,'Jira Import'!$O:$O,A12,'Jira Import'!$B:$B,"Story")</f>
        <v>3.5</v>
      </c>
      <c r="G12" s="2" t="n">
        <f aca="false">COUNTIFS('Jira Import'!$O:$O,A12,'Jira Import'!$N:$N,"Done",'Jira Import'!$B:$B,"Story")</f>
        <v>0</v>
      </c>
      <c r="H12" s="4" t="n">
        <f aca="false">IF(INDEX('Jira Import'!$L:$L,MATCH(A12,'Jira Import'!$A:$A,0))="","",INDEX('Jira Import'!$L:$L,MATCH(A12,'Jira Import'!$A:$A,0)))</f>
        <v>46307</v>
      </c>
    </row>
    <row r="13" customFormat="false" ht="15" hidden="false" customHeight="false" outlineLevel="0" collapsed="false">
      <c r="A13" s="2" t="s">
        <v>29</v>
      </c>
      <c r="B13" s="2" t="s">
        <v>30</v>
      </c>
      <c r="C13" s="2" t="n">
        <f aca="false">COUNTIFS('Jira Import'!$O:$O,A13,'Jira Import'!$B:$B,"Story")</f>
        <v>5</v>
      </c>
      <c r="D13" s="2" t="n">
        <f aca="false">COUNTIFS('Jira Import'!$O:$O,A13,'Jira Import'!$B:$B,"Sub-task")</f>
        <v>0</v>
      </c>
      <c r="E13" s="2" t="n">
        <f aca="false">SUMIFS('Jira Import'!$H:$H,'Jira Import'!$O:$O,A13)</f>
        <v>11</v>
      </c>
      <c r="F13" s="2" t="n">
        <f aca="false">SUMIFS('Jira Import'!$I:$I,'Jira Import'!$O:$O,A13,'Jira Import'!$B:$B,"Story")</f>
        <v>5.5</v>
      </c>
      <c r="G13" s="2" t="n">
        <f aca="false">COUNTIFS('Jira Import'!$O:$O,A13,'Jira Import'!$N:$N,"Done",'Jira Import'!$B:$B,"Story")</f>
        <v>0</v>
      </c>
      <c r="H13" s="4" t="str">
        <f aca="false">IF(INDEX('Jira Import'!$L:$L,MATCH(A13,'Jira Import'!$A:$A,0))="","",INDEX('Jira Import'!$L:$L,MATCH(A13,'Jira Import'!$A:$A,0)))</f>
        <v/>
      </c>
    </row>
    <row r="14" customFormat="false" ht="15" hidden="false" customHeight="false" outlineLevel="0" collapsed="false">
      <c r="A14" s="2" t="s">
        <v>31</v>
      </c>
      <c r="B14" s="2" t="s">
        <v>32</v>
      </c>
      <c r="C14" s="2" t="n">
        <f aca="false">COUNTIFS('Jira Import'!$O:$O,A14,'Jira Import'!$B:$B,"Story")</f>
        <v>6</v>
      </c>
      <c r="D14" s="2" t="n">
        <f aca="false">COUNTIFS('Jira Import'!$O:$O,A14,'Jira Import'!$B:$B,"Sub-task")</f>
        <v>0</v>
      </c>
      <c r="E14" s="2" t="n">
        <f aca="false">SUMIFS('Jira Import'!$H:$H,'Jira Import'!$O:$O,A14)</f>
        <v>10</v>
      </c>
      <c r="F14" s="2" t="n">
        <f aca="false">SUMIFS('Jira Import'!$I:$I,'Jira Import'!$O:$O,A14,'Jira Import'!$B:$B,"Story")</f>
        <v>7</v>
      </c>
      <c r="G14" s="2" t="n">
        <f aca="false">COUNTIFS('Jira Import'!$O:$O,A14,'Jira Import'!$N:$N,"Done",'Jira Import'!$B:$B,"Story")</f>
        <v>0</v>
      </c>
      <c r="H14" s="4" t="n">
        <f aca="false">IF(INDEX('Jira Import'!$L:$L,MATCH(A14,'Jira Import'!$A:$A,0))="","",INDEX('Jira Import'!$L:$L,MATCH(A14,'Jira Import'!$A:$A,0)))</f>
        <v>46307</v>
      </c>
    </row>
    <row r="15" customFormat="false" ht="15" hidden="false" customHeight="false" outlineLevel="0" collapsed="false">
      <c r="A15" s="2" t="s">
        <v>33</v>
      </c>
      <c r="B15" s="2" t="s">
        <v>34</v>
      </c>
      <c r="C15" s="2" t="n">
        <f aca="false">COUNTIFS('Jira Import'!$O:$O,A15,'Jira Import'!$B:$B,"Story")</f>
        <v>2</v>
      </c>
      <c r="D15" s="2" t="n">
        <f aca="false">COUNTIFS('Jira Import'!$O:$O,A15,'Jira Import'!$B:$B,"Sub-task")</f>
        <v>0</v>
      </c>
      <c r="E15" s="2" t="n">
        <f aca="false">SUMIFS('Jira Import'!$H:$H,'Jira Import'!$O:$O,A15)</f>
        <v>13</v>
      </c>
      <c r="F15" s="2" t="n">
        <f aca="false">SUMIFS('Jira Import'!$I:$I,'Jira Import'!$O:$O,A15,'Jira Import'!$B:$B,"Story")</f>
        <v>7</v>
      </c>
      <c r="G15" s="2" t="n">
        <f aca="false">COUNTIFS('Jira Import'!$O:$O,A15,'Jira Import'!$N:$N,"Done",'Jira Import'!$B:$B,"Story")</f>
        <v>0</v>
      </c>
      <c r="H15" s="4" t="str">
        <f aca="false">IF(INDEX('Jira Import'!$L:$L,MATCH(A15,'Jira Import'!$A:$A,0))="","",INDEX('Jira Import'!$L:$L,MATCH(A15,'Jira Import'!$A:$A,0)))</f>
        <v/>
      </c>
    </row>
    <row r="16" customFormat="false" ht="15" hidden="false" customHeight="false" outlineLevel="0" collapsed="false">
      <c r="A16" s="5" t="s">
        <v>35</v>
      </c>
      <c r="B16" s="5"/>
      <c r="C16" s="5" t="n">
        <f aca="false">SUM(C3:C15)</f>
        <v>73</v>
      </c>
      <c r="D16" s="5" t="n">
        <f aca="false">SUM(D3:D15)</f>
        <v>3</v>
      </c>
      <c r="E16" s="5" t="n">
        <f aca="false">SUM(E3:E15)</f>
        <v>162</v>
      </c>
      <c r="F16" s="5" t="n">
        <f aca="false">SUM(F3:F15)</f>
        <v>90</v>
      </c>
      <c r="G16" s="5" t="n">
        <f aca="false">SUM(G3:G15)</f>
        <v>3</v>
      </c>
      <c r="H16" s="5"/>
    </row>
    <row r="17" customFormat="false" ht="15" hidden="false" customHeight="false" outlineLevel="0" collapsed="false">
      <c r="A17" s="6" t="s">
        <v>36</v>
      </c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6.15" hidden="false" customHeight="false" outlineLevel="0" collapsed="false">
      <c r="A19" s="1" t="s">
        <v>37</v>
      </c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3" t="s">
        <v>38</v>
      </c>
      <c r="B20" s="3" t="s">
        <v>39</v>
      </c>
      <c r="C20" s="3" t="s">
        <v>40</v>
      </c>
      <c r="D20" s="3" t="s">
        <v>6</v>
      </c>
      <c r="E20" s="3" t="s">
        <v>41</v>
      </c>
      <c r="F20" s="3" t="s">
        <v>42</v>
      </c>
      <c r="G20" s="2"/>
      <c r="H20" s="2"/>
    </row>
    <row r="21" customFormat="false" ht="15" hidden="false" customHeight="false" outlineLevel="0" collapsed="false">
      <c r="A21" s="2" t="s">
        <v>43</v>
      </c>
      <c r="B21" s="4" t="n">
        <v>46302</v>
      </c>
      <c r="C21" s="2" t="n">
        <f aca="false">COUNTIFS('Jira Import'!$L:$L,B21,'Jira Import'!$B:$B,"Story")</f>
        <v>6</v>
      </c>
      <c r="D21" s="2" t="n">
        <f aca="false">SUMIFS('Jira Import'!$I:$I,'Jira Import'!$L:$L,B21,'Jira Import'!$B:$B,"Story")</f>
        <v>11</v>
      </c>
      <c r="E21" s="7" t="n">
        <v>11</v>
      </c>
      <c r="F21" s="2" t="n">
        <f aca="false">D21-E21</f>
        <v>0</v>
      </c>
      <c r="G21" s="2"/>
      <c r="H21" s="2"/>
    </row>
    <row r="22" customFormat="false" ht="15" hidden="false" customHeight="false" outlineLevel="0" collapsed="false">
      <c r="A22" s="2" t="s">
        <v>44</v>
      </c>
      <c r="B22" s="4" t="n">
        <v>46303</v>
      </c>
      <c r="C22" s="2" t="n">
        <f aca="false">COUNTIFS('Jira Import'!$L:$L,B22,'Jira Import'!$B:$B,"Story")</f>
        <v>11</v>
      </c>
      <c r="D22" s="2" t="n">
        <f aca="false">SUMIFS('Jira Import'!$I:$I,'Jira Import'!$L:$L,B22,'Jira Import'!$B:$B,"Story")</f>
        <v>13</v>
      </c>
      <c r="E22" s="7" t="n">
        <v>13</v>
      </c>
      <c r="F22" s="2" t="n">
        <f aca="false">D22-E22</f>
        <v>0</v>
      </c>
      <c r="G22" s="2"/>
      <c r="H22" s="2"/>
    </row>
    <row r="23" customFormat="false" ht="15" hidden="false" customHeight="false" outlineLevel="0" collapsed="false">
      <c r="A23" s="2" t="s">
        <v>45</v>
      </c>
      <c r="B23" s="4" t="n">
        <v>46304</v>
      </c>
      <c r="C23" s="2" t="n">
        <f aca="false">COUNTIFS('Jira Import'!$L:$L,B23,'Jira Import'!$B:$B,"Story")</f>
        <v>12</v>
      </c>
      <c r="D23" s="2" t="n">
        <f aca="false">SUMIFS('Jira Import'!$I:$I,'Jira Import'!$L:$L,B23,'Jira Import'!$B:$B,"Story")</f>
        <v>12.5</v>
      </c>
      <c r="E23" s="7" t="n">
        <v>13</v>
      </c>
      <c r="F23" s="2" t="n">
        <f aca="false">D23-E23</f>
        <v>-0.5</v>
      </c>
      <c r="G23" s="2"/>
      <c r="H23" s="2"/>
    </row>
    <row r="24" customFormat="false" ht="15" hidden="false" customHeight="false" outlineLevel="0" collapsed="false">
      <c r="A24" s="2" t="s">
        <v>46</v>
      </c>
      <c r="B24" s="4" t="n">
        <v>46305</v>
      </c>
      <c r="C24" s="2" t="n">
        <f aca="false">COUNTIFS('Jira Import'!$L:$L,B24,'Jira Import'!$B:$B,"Story")</f>
        <v>9</v>
      </c>
      <c r="D24" s="2" t="n">
        <f aca="false">SUMIFS('Jira Import'!$I:$I,'Jira Import'!$L:$L,B24,'Jira Import'!$B:$B,"Story")</f>
        <v>12.5</v>
      </c>
      <c r="E24" s="7" t="n">
        <v>13</v>
      </c>
      <c r="F24" s="2" t="n">
        <f aca="false">D24-E24</f>
        <v>-0.5</v>
      </c>
      <c r="G24" s="2"/>
      <c r="H24" s="2"/>
    </row>
    <row r="25" customFormat="false" ht="15" hidden="false" customHeight="false" outlineLevel="0" collapsed="false">
      <c r="A25" s="2" t="s">
        <v>47</v>
      </c>
      <c r="B25" s="4" t="n">
        <v>46306</v>
      </c>
      <c r="C25" s="2" t="n">
        <f aca="false">COUNTIFS('Jira Import'!$L:$L,B25,'Jira Import'!$B:$B,"Story")</f>
        <v>12</v>
      </c>
      <c r="D25" s="2" t="n">
        <f aca="false">SUMIFS('Jira Import'!$I:$I,'Jira Import'!$L:$L,B25,'Jira Import'!$B:$B,"Story")</f>
        <v>13</v>
      </c>
      <c r="E25" s="7" t="n">
        <v>13</v>
      </c>
      <c r="F25" s="2" t="n">
        <f aca="false">D25-E25</f>
        <v>0</v>
      </c>
      <c r="G25" s="2"/>
      <c r="H25" s="2"/>
    </row>
    <row r="26" customFormat="false" ht="15" hidden="false" customHeight="false" outlineLevel="0" collapsed="false">
      <c r="A26" s="2" t="s">
        <v>48</v>
      </c>
      <c r="B26" s="4" t="n">
        <v>46307</v>
      </c>
      <c r="C26" s="2" t="n">
        <f aca="false">COUNTIFS('Jira Import'!$L:$L,B26,'Jira Import'!$B:$B,"Story")</f>
        <v>12</v>
      </c>
      <c r="D26" s="2" t="n">
        <f aca="false">SUMIFS('Jira Import'!$I:$I,'Jira Import'!$L:$L,B26,'Jira Import'!$B:$B,"Story")</f>
        <v>12</v>
      </c>
      <c r="E26" s="7" t="n">
        <v>13</v>
      </c>
      <c r="F26" s="2" t="n">
        <f aca="false">D26-E26</f>
        <v>-1</v>
      </c>
      <c r="G26" s="2"/>
      <c r="H26" s="2"/>
    </row>
    <row r="27" customFormat="false" ht="15" hidden="false" customHeight="false" outlineLevel="0" collapsed="false">
      <c r="A27" s="6" t="s">
        <v>49</v>
      </c>
      <c r="B27" s="2"/>
      <c r="C27" s="2"/>
      <c r="D27" s="2"/>
      <c r="E27" s="2"/>
      <c r="F27" s="2"/>
      <c r="G27" s="2"/>
      <c r="H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70"/>
    <col collapsed="false" customWidth="true" hidden="false" outlineLevel="0" max="6" min="5" style="0" width="9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2" min="11" style="0" width="11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9"/>
  </cols>
  <sheetData>
    <row r="1" customFormat="false" ht="52.2" hidden="false" customHeight="false" outlineLevel="0" collapsed="false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</row>
    <row r="2" customFormat="false" ht="26.85" hidden="false" customHeight="false" outlineLevel="0" collapsed="false">
      <c r="A2" s="9" t="s">
        <v>9</v>
      </c>
      <c r="B2" s="9" t="s">
        <v>2</v>
      </c>
      <c r="C2" s="10" t="s">
        <v>10</v>
      </c>
      <c r="D2" s="10" t="s">
        <v>65</v>
      </c>
      <c r="E2" s="9"/>
      <c r="F2" s="9" t="s">
        <v>66</v>
      </c>
      <c r="G2" s="9" t="s">
        <v>67</v>
      </c>
      <c r="H2" s="9"/>
      <c r="I2" s="9"/>
      <c r="J2" s="9" t="str">
        <f aca="false">IF(I2="","",I2*3600)</f>
        <v/>
      </c>
      <c r="K2" s="11" t="n">
        <v>46302</v>
      </c>
      <c r="L2" s="11" t="n">
        <v>46302</v>
      </c>
      <c r="M2" s="9" t="s">
        <v>68</v>
      </c>
      <c r="N2" s="9" t="s">
        <v>69</v>
      </c>
      <c r="O2" s="9" t="s">
        <v>9</v>
      </c>
    </row>
    <row r="3" customFormat="false" ht="26.85" hidden="false" customHeight="false" outlineLevel="0" collapsed="false">
      <c r="A3" s="12" t="s">
        <v>70</v>
      </c>
      <c r="B3" s="12" t="s">
        <v>71</v>
      </c>
      <c r="C3" s="13" t="s">
        <v>72</v>
      </c>
      <c r="D3" s="13" t="s">
        <v>73</v>
      </c>
      <c r="E3" s="12" t="s">
        <v>9</v>
      </c>
      <c r="F3" s="12" t="s">
        <v>74</v>
      </c>
      <c r="G3" s="12" t="s">
        <v>67</v>
      </c>
      <c r="H3" s="12" t="n">
        <v>3</v>
      </c>
      <c r="I3" s="12" t="n">
        <v>3</v>
      </c>
      <c r="J3" s="12" t="n">
        <f aca="false">IF(I3="","",I3*3600)</f>
        <v>10800</v>
      </c>
      <c r="K3" s="14" t="n">
        <v>46302</v>
      </c>
      <c r="L3" s="14" t="n">
        <v>46302</v>
      </c>
      <c r="M3" s="12" t="s">
        <v>68</v>
      </c>
      <c r="N3" s="12" t="s">
        <v>75</v>
      </c>
      <c r="O3" s="12" t="s">
        <v>9</v>
      </c>
    </row>
    <row r="4" customFormat="false" ht="26.85" hidden="false" customHeight="false" outlineLevel="0" collapsed="false">
      <c r="A4" s="12" t="s">
        <v>76</v>
      </c>
      <c r="B4" s="12" t="s">
        <v>71</v>
      </c>
      <c r="C4" s="13" t="s">
        <v>77</v>
      </c>
      <c r="D4" s="13" t="s">
        <v>78</v>
      </c>
      <c r="E4" s="12" t="s">
        <v>9</v>
      </c>
      <c r="F4" s="12" t="s">
        <v>74</v>
      </c>
      <c r="G4" s="12" t="s">
        <v>67</v>
      </c>
      <c r="H4" s="12" t="n">
        <v>5</v>
      </c>
      <c r="I4" s="12" t="n">
        <v>4</v>
      </c>
      <c r="J4" s="12" t="n">
        <f aca="false">IF(I4="","",I4*3600)</f>
        <v>14400</v>
      </c>
      <c r="K4" s="14" t="n">
        <v>46302</v>
      </c>
      <c r="L4" s="14" t="n">
        <v>46302</v>
      </c>
      <c r="M4" s="12" t="s">
        <v>68</v>
      </c>
      <c r="N4" s="12" t="s">
        <v>75</v>
      </c>
      <c r="O4" s="12" t="s">
        <v>9</v>
      </c>
    </row>
    <row r="5" customFormat="false" ht="26.85" hidden="false" customHeight="false" outlineLevel="0" collapsed="false">
      <c r="A5" s="12" t="s">
        <v>79</v>
      </c>
      <c r="B5" s="12" t="s">
        <v>71</v>
      </c>
      <c r="C5" s="13" t="s">
        <v>80</v>
      </c>
      <c r="D5" s="13" t="s">
        <v>81</v>
      </c>
      <c r="E5" s="12" t="s">
        <v>9</v>
      </c>
      <c r="F5" s="12" t="s">
        <v>74</v>
      </c>
      <c r="G5" s="12" t="s">
        <v>67</v>
      </c>
      <c r="H5" s="12" t="n">
        <v>1</v>
      </c>
      <c r="I5" s="12" t="n">
        <v>1</v>
      </c>
      <c r="J5" s="12" t="n">
        <f aca="false">IF(I5="","",I5*3600)</f>
        <v>3600</v>
      </c>
      <c r="K5" s="14" t="n">
        <v>46302</v>
      </c>
      <c r="L5" s="14" t="n">
        <v>46302</v>
      </c>
      <c r="M5" s="12" t="s">
        <v>68</v>
      </c>
      <c r="N5" s="12" t="s">
        <v>75</v>
      </c>
      <c r="O5" s="12" t="s">
        <v>9</v>
      </c>
    </row>
    <row r="6" customFormat="false" ht="26.85" hidden="false" customHeight="false" outlineLevel="0" collapsed="false">
      <c r="A6" s="12" t="s">
        <v>82</v>
      </c>
      <c r="B6" s="12" t="s">
        <v>71</v>
      </c>
      <c r="C6" s="13" t="s">
        <v>83</v>
      </c>
      <c r="D6" s="13" t="s">
        <v>84</v>
      </c>
      <c r="E6" s="12" t="s">
        <v>9</v>
      </c>
      <c r="F6" s="12" t="s">
        <v>74</v>
      </c>
      <c r="G6" s="12" t="s">
        <v>67</v>
      </c>
      <c r="H6" s="12" t="n">
        <v>1</v>
      </c>
      <c r="I6" s="12" t="n">
        <v>0.5</v>
      </c>
      <c r="J6" s="12" t="n">
        <f aca="false">IF(I6="","",I6*3600)</f>
        <v>1800</v>
      </c>
      <c r="K6" s="14" t="n">
        <v>46302</v>
      </c>
      <c r="L6" s="14" t="n">
        <v>46302</v>
      </c>
      <c r="M6" s="12" t="s">
        <v>68</v>
      </c>
      <c r="N6" s="12" t="s">
        <v>69</v>
      </c>
      <c r="O6" s="12" t="s">
        <v>9</v>
      </c>
    </row>
    <row r="7" customFormat="false" ht="26.85" hidden="false" customHeight="false" outlineLevel="0" collapsed="false">
      <c r="A7" s="9" t="s">
        <v>11</v>
      </c>
      <c r="B7" s="9" t="s">
        <v>2</v>
      </c>
      <c r="C7" s="10" t="s">
        <v>12</v>
      </c>
      <c r="D7" s="10" t="s">
        <v>85</v>
      </c>
      <c r="E7" s="9"/>
      <c r="F7" s="9" t="s">
        <v>66</v>
      </c>
      <c r="G7" s="9" t="s">
        <v>86</v>
      </c>
      <c r="H7" s="9"/>
      <c r="I7" s="9"/>
      <c r="J7" s="9" t="str">
        <f aca="false">IF(I7="","",I7*3600)</f>
        <v/>
      </c>
      <c r="K7" s="11" t="n">
        <v>46302</v>
      </c>
      <c r="L7" s="11" t="n">
        <v>46303</v>
      </c>
      <c r="M7" s="9" t="s">
        <v>87</v>
      </c>
      <c r="N7" s="9" t="s">
        <v>69</v>
      </c>
      <c r="O7" s="9" t="s">
        <v>11</v>
      </c>
    </row>
    <row r="8" customFormat="false" ht="39.55" hidden="false" customHeight="false" outlineLevel="0" collapsed="false">
      <c r="A8" s="12" t="s">
        <v>88</v>
      </c>
      <c r="B8" s="12" t="s">
        <v>71</v>
      </c>
      <c r="C8" s="13" t="s">
        <v>89</v>
      </c>
      <c r="D8" s="13" t="s">
        <v>90</v>
      </c>
      <c r="E8" s="12" t="s">
        <v>11</v>
      </c>
      <c r="F8" s="12" t="s">
        <v>66</v>
      </c>
      <c r="G8" s="12" t="s">
        <v>86</v>
      </c>
      <c r="H8" s="12" t="n">
        <v>2</v>
      </c>
      <c r="I8" s="12" t="n">
        <v>1.5</v>
      </c>
      <c r="J8" s="12" t="n">
        <f aca="false">IF(I8="","",I8*3600)</f>
        <v>5400</v>
      </c>
      <c r="K8" s="14" t="n">
        <v>46302</v>
      </c>
      <c r="L8" s="14" t="n">
        <v>46302</v>
      </c>
      <c r="M8" s="12" t="s">
        <v>87</v>
      </c>
      <c r="N8" s="12" t="s">
        <v>69</v>
      </c>
      <c r="O8" s="12" t="s">
        <v>11</v>
      </c>
    </row>
    <row r="9" customFormat="false" ht="26.85" hidden="false" customHeight="false" outlineLevel="0" collapsed="false">
      <c r="A9" s="15" t="s">
        <v>91</v>
      </c>
      <c r="B9" s="15" t="s">
        <v>92</v>
      </c>
      <c r="C9" s="16" t="s">
        <v>93</v>
      </c>
      <c r="D9" s="16" t="s">
        <v>94</v>
      </c>
      <c r="E9" s="15" t="s">
        <v>88</v>
      </c>
      <c r="F9" s="15" t="s">
        <v>74</v>
      </c>
      <c r="G9" s="15" t="s">
        <v>86</v>
      </c>
      <c r="H9" s="15"/>
      <c r="I9" s="15" t="n">
        <v>0.5</v>
      </c>
      <c r="J9" s="15" t="n">
        <f aca="false">IF(I9="","",I9*3600)</f>
        <v>1800</v>
      </c>
      <c r="K9" s="17" t="n">
        <v>46302</v>
      </c>
      <c r="L9" s="17" t="n">
        <v>46302</v>
      </c>
      <c r="M9" s="15" t="s">
        <v>87</v>
      </c>
      <c r="N9" s="15" t="s">
        <v>69</v>
      </c>
      <c r="O9" s="15" t="s">
        <v>11</v>
      </c>
    </row>
    <row r="10" customFormat="false" ht="39.55" hidden="false" customHeight="false" outlineLevel="0" collapsed="false">
      <c r="A10" s="12" t="s">
        <v>95</v>
      </c>
      <c r="B10" s="12" t="s">
        <v>71</v>
      </c>
      <c r="C10" s="13" t="s">
        <v>96</v>
      </c>
      <c r="D10" s="13" t="s">
        <v>97</v>
      </c>
      <c r="E10" s="12" t="s">
        <v>11</v>
      </c>
      <c r="F10" s="12" t="s">
        <v>66</v>
      </c>
      <c r="G10" s="12" t="s">
        <v>86</v>
      </c>
      <c r="H10" s="12" t="n">
        <v>1</v>
      </c>
      <c r="I10" s="12" t="n">
        <v>1</v>
      </c>
      <c r="J10" s="12" t="n">
        <f aca="false">IF(I10="","",I10*3600)</f>
        <v>3600</v>
      </c>
      <c r="K10" s="14" t="n">
        <v>46302</v>
      </c>
      <c r="L10" s="14" t="n">
        <v>46302</v>
      </c>
      <c r="M10" s="12" t="s">
        <v>87</v>
      </c>
      <c r="N10" s="12" t="s">
        <v>69</v>
      </c>
      <c r="O10" s="12" t="s">
        <v>11</v>
      </c>
    </row>
    <row r="11" customFormat="false" ht="26.85" hidden="false" customHeight="false" outlineLevel="0" collapsed="false">
      <c r="A11" s="12" t="s">
        <v>98</v>
      </c>
      <c r="B11" s="12" t="s">
        <v>71</v>
      </c>
      <c r="C11" s="13" t="s">
        <v>99</v>
      </c>
      <c r="D11" s="13" t="s">
        <v>100</v>
      </c>
      <c r="E11" s="12" t="s">
        <v>11</v>
      </c>
      <c r="F11" s="12" t="s">
        <v>66</v>
      </c>
      <c r="G11" s="12" t="s">
        <v>86</v>
      </c>
      <c r="H11" s="12" t="n">
        <v>1</v>
      </c>
      <c r="I11" s="12" t="n">
        <v>0.5</v>
      </c>
      <c r="J11" s="12" t="n">
        <f aca="false">IF(I11="","",I11*3600)</f>
        <v>1800</v>
      </c>
      <c r="K11" s="14" t="n">
        <v>46303</v>
      </c>
      <c r="L11" s="14" t="n">
        <v>46303</v>
      </c>
      <c r="M11" s="12" t="s">
        <v>87</v>
      </c>
      <c r="N11" s="12" t="s">
        <v>69</v>
      </c>
      <c r="O11" s="12" t="s">
        <v>11</v>
      </c>
    </row>
    <row r="12" customFormat="false" ht="39.55" hidden="false" customHeight="false" outlineLevel="0" collapsed="false">
      <c r="A12" s="12" t="s">
        <v>101</v>
      </c>
      <c r="B12" s="12" t="s">
        <v>71</v>
      </c>
      <c r="C12" s="13" t="s">
        <v>102</v>
      </c>
      <c r="D12" s="13" t="s">
        <v>103</v>
      </c>
      <c r="E12" s="12" t="s">
        <v>11</v>
      </c>
      <c r="F12" s="12" t="s">
        <v>66</v>
      </c>
      <c r="G12" s="12" t="s">
        <v>86</v>
      </c>
      <c r="H12" s="12" t="n">
        <v>3</v>
      </c>
      <c r="I12" s="12" t="n">
        <v>2</v>
      </c>
      <c r="J12" s="12" t="n">
        <f aca="false">IF(I12="","",I12*3600)</f>
        <v>7200</v>
      </c>
      <c r="K12" s="14" t="n">
        <v>46303</v>
      </c>
      <c r="L12" s="14" t="n">
        <v>46303</v>
      </c>
      <c r="M12" s="12" t="s">
        <v>87</v>
      </c>
      <c r="N12" s="12" t="s">
        <v>69</v>
      </c>
      <c r="O12" s="12" t="s">
        <v>11</v>
      </c>
    </row>
    <row r="13" customFormat="false" ht="39.55" hidden="false" customHeight="false" outlineLevel="0" collapsed="false">
      <c r="A13" s="12" t="s">
        <v>104</v>
      </c>
      <c r="B13" s="12" t="s">
        <v>71</v>
      </c>
      <c r="C13" s="13" t="s">
        <v>105</v>
      </c>
      <c r="D13" s="13" t="s">
        <v>106</v>
      </c>
      <c r="E13" s="12" t="s">
        <v>11</v>
      </c>
      <c r="F13" s="12" t="s">
        <v>66</v>
      </c>
      <c r="G13" s="12" t="s">
        <v>86</v>
      </c>
      <c r="H13" s="12" t="n">
        <v>5</v>
      </c>
      <c r="I13" s="12" t="n">
        <v>3</v>
      </c>
      <c r="J13" s="12" t="n">
        <f aca="false">IF(I13="","",I13*3600)</f>
        <v>10800</v>
      </c>
      <c r="K13" s="14" t="n">
        <v>46303</v>
      </c>
      <c r="L13" s="14" t="n">
        <v>46303</v>
      </c>
      <c r="M13" s="12" t="s">
        <v>87</v>
      </c>
      <c r="N13" s="12" t="s">
        <v>69</v>
      </c>
      <c r="O13" s="12" t="s">
        <v>11</v>
      </c>
    </row>
    <row r="14" customFormat="false" ht="26.85" hidden="false" customHeight="false" outlineLevel="0" collapsed="false">
      <c r="A14" s="15" t="s">
        <v>107</v>
      </c>
      <c r="B14" s="15" t="s">
        <v>92</v>
      </c>
      <c r="C14" s="16" t="s">
        <v>108</v>
      </c>
      <c r="D14" s="16" t="s">
        <v>109</v>
      </c>
      <c r="E14" s="15" t="s">
        <v>104</v>
      </c>
      <c r="F14" s="15" t="s">
        <v>74</v>
      </c>
      <c r="G14" s="15" t="s">
        <v>86</v>
      </c>
      <c r="H14" s="15"/>
      <c r="I14" s="15" t="n">
        <v>1</v>
      </c>
      <c r="J14" s="15" t="n">
        <f aca="false">IF(I14="","",I14*3600)</f>
        <v>3600</v>
      </c>
      <c r="K14" s="17" t="n">
        <v>46303</v>
      </c>
      <c r="L14" s="17" t="n">
        <v>46303</v>
      </c>
      <c r="M14" s="15" t="s">
        <v>87</v>
      </c>
      <c r="N14" s="15" t="s">
        <v>69</v>
      </c>
      <c r="O14" s="15" t="s">
        <v>11</v>
      </c>
    </row>
    <row r="15" customFormat="false" ht="26.85" hidden="false" customHeight="false" outlineLevel="0" collapsed="false">
      <c r="A15" s="15" t="s">
        <v>110</v>
      </c>
      <c r="B15" s="15" t="s">
        <v>92</v>
      </c>
      <c r="C15" s="16" t="s">
        <v>111</v>
      </c>
      <c r="D15" s="16" t="s">
        <v>112</v>
      </c>
      <c r="E15" s="15" t="s">
        <v>104</v>
      </c>
      <c r="F15" s="15" t="s">
        <v>74</v>
      </c>
      <c r="G15" s="15" t="s">
        <v>86</v>
      </c>
      <c r="H15" s="15"/>
      <c r="I15" s="15" t="n">
        <v>1</v>
      </c>
      <c r="J15" s="15" t="n">
        <f aca="false">IF(I15="","",I15*3600)</f>
        <v>3600</v>
      </c>
      <c r="K15" s="17" t="n">
        <v>46303</v>
      </c>
      <c r="L15" s="17" t="n">
        <v>46303</v>
      </c>
      <c r="M15" s="15" t="s">
        <v>87</v>
      </c>
      <c r="N15" s="15" t="s">
        <v>69</v>
      </c>
      <c r="O15" s="15" t="s">
        <v>11</v>
      </c>
    </row>
    <row r="16" customFormat="false" ht="26.85" hidden="false" customHeight="false" outlineLevel="0" collapsed="false">
      <c r="A16" s="12" t="s">
        <v>113</v>
      </c>
      <c r="B16" s="12" t="s">
        <v>71</v>
      </c>
      <c r="C16" s="13" t="s">
        <v>114</v>
      </c>
      <c r="D16" s="13" t="s">
        <v>115</v>
      </c>
      <c r="E16" s="12" t="s">
        <v>11</v>
      </c>
      <c r="F16" s="12" t="s">
        <v>66</v>
      </c>
      <c r="G16" s="12" t="s">
        <v>86</v>
      </c>
      <c r="H16" s="12" t="n">
        <v>1</v>
      </c>
      <c r="I16" s="12" t="n">
        <v>0.5</v>
      </c>
      <c r="J16" s="12" t="n">
        <f aca="false">IF(I16="","",I16*3600)</f>
        <v>1800</v>
      </c>
      <c r="K16" s="14" t="n">
        <v>46303</v>
      </c>
      <c r="L16" s="14" t="n">
        <v>46303</v>
      </c>
      <c r="M16" s="12" t="s">
        <v>87</v>
      </c>
      <c r="N16" s="12" t="s">
        <v>69</v>
      </c>
      <c r="O16" s="12" t="s">
        <v>11</v>
      </c>
    </row>
    <row r="17" customFormat="false" ht="26.85" hidden="false" customHeight="false" outlineLevel="0" collapsed="false">
      <c r="A17" s="12" t="s">
        <v>116</v>
      </c>
      <c r="B17" s="12" t="s">
        <v>71</v>
      </c>
      <c r="C17" s="13" t="s">
        <v>117</v>
      </c>
      <c r="D17" s="13" t="s">
        <v>118</v>
      </c>
      <c r="E17" s="12" t="s">
        <v>11</v>
      </c>
      <c r="F17" s="12" t="s">
        <v>66</v>
      </c>
      <c r="G17" s="12" t="s">
        <v>86</v>
      </c>
      <c r="H17" s="12" t="n">
        <v>2</v>
      </c>
      <c r="I17" s="12" t="n">
        <v>1</v>
      </c>
      <c r="J17" s="12" t="n">
        <f aca="false">IF(I17="","",I17*3600)</f>
        <v>3600</v>
      </c>
      <c r="K17" s="14" t="n">
        <v>46303</v>
      </c>
      <c r="L17" s="14" t="n">
        <v>46303</v>
      </c>
      <c r="M17" s="12" t="s">
        <v>87</v>
      </c>
      <c r="N17" s="12" t="s">
        <v>69</v>
      </c>
      <c r="O17" s="12" t="s">
        <v>11</v>
      </c>
    </row>
    <row r="18" customFormat="false" ht="39.55" hidden="false" customHeight="false" outlineLevel="0" collapsed="false">
      <c r="A18" s="12" t="s">
        <v>119</v>
      </c>
      <c r="B18" s="12" t="s">
        <v>71</v>
      </c>
      <c r="C18" s="13" t="s">
        <v>120</v>
      </c>
      <c r="D18" s="13" t="s">
        <v>121</v>
      </c>
      <c r="E18" s="12" t="s">
        <v>11</v>
      </c>
      <c r="F18" s="12" t="s">
        <v>74</v>
      </c>
      <c r="G18" s="12" t="s">
        <v>86</v>
      </c>
      <c r="H18" s="12" t="n">
        <v>2</v>
      </c>
      <c r="I18" s="12" t="n">
        <v>1</v>
      </c>
      <c r="J18" s="12" t="n">
        <f aca="false">IF(I18="","",I18*3600)</f>
        <v>3600</v>
      </c>
      <c r="K18" s="14" t="n">
        <v>46303</v>
      </c>
      <c r="L18" s="14" t="n">
        <v>46303</v>
      </c>
      <c r="M18" s="12" t="s">
        <v>87</v>
      </c>
      <c r="N18" s="12" t="s">
        <v>69</v>
      </c>
      <c r="O18" s="12" t="s">
        <v>11</v>
      </c>
    </row>
    <row r="19" customFormat="false" ht="26.85" hidden="false" customHeight="false" outlineLevel="0" collapsed="false">
      <c r="A19" s="12" t="s">
        <v>122</v>
      </c>
      <c r="B19" s="12" t="s">
        <v>71</v>
      </c>
      <c r="C19" s="13" t="s">
        <v>123</v>
      </c>
      <c r="D19" s="13" t="s">
        <v>124</v>
      </c>
      <c r="E19" s="12" t="s">
        <v>11</v>
      </c>
      <c r="F19" s="12" t="s">
        <v>66</v>
      </c>
      <c r="G19" s="12" t="s">
        <v>86</v>
      </c>
      <c r="H19" s="12" t="n">
        <v>3</v>
      </c>
      <c r="I19" s="12" t="n">
        <v>1.5</v>
      </c>
      <c r="J19" s="12" t="n">
        <f aca="false">IF(I19="","",I19*3600)</f>
        <v>5400</v>
      </c>
      <c r="K19" s="14" t="n">
        <v>46303</v>
      </c>
      <c r="L19" s="14" t="n">
        <v>46303</v>
      </c>
      <c r="M19" s="12" t="s">
        <v>87</v>
      </c>
      <c r="N19" s="12" t="s">
        <v>69</v>
      </c>
      <c r="O19" s="12" t="s">
        <v>11</v>
      </c>
    </row>
    <row r="20" customFormat="false" ht="26.85" hidden="false" customHeight="false" outlineLevel="0" collapsed="false">
      <c r="A20" s="12" t="s">
        <v>125</v>
      </c>
      <c r="B20" s="12" t="s">
        <v>71</v>
      </c>
      <c r="C20" s="13" t="s">
        <v>126</v>
      </c>
      <c r="D20" s="13" t="s">
        <v>127</v>
      </c>
      <c r="E20" s="12" t="s">
        <v>11</v>
      </c>
      <c r="F20" s="12" t="s">
        <v>74</v>
      </c>
      <c r="G20" s="12" t="s">
        <v>86</v>
      </c>
      <c r="H20" s="12" t="n">
        <v>1</v>
      </c>
      <c r="I20" s="12" t="n">
        <v>0.5</v>
      </c>
      <c r="J20" s="12" t="n">
        <f aca="false">IF(I20="","",I20*3600)</f>
        <v>1800</v>
      </c>
      <c r="K20" s="14" t="n">
        <v>46303</v>
      </c>
      <c r="L20" s="14" t="n">
        <v>46303</v>
      </c>
      <c r="M20" s="12" t="s">
        <v>87</v>
      </c>
      <c r="N20" s="12" t="s">
        <v>69</v>
      </c>
      <c r="O20" s="12" t="s">
        <v>11</v>
      </c>
    </row>
    <row r="21" customFormat="false" ht="39.55" hidden="false" customHeight="false" outlineLevel="0" collapsed="false">
      <c r="A21" s="9" t="s">
        <v>13</v>
      </c>
      <c r="B21" s="9" t="s">
        <v>2</v>
      </c>
      <c r="C21" s="10" t="s">
        <v>14</v>
      </c>
      <c r="D21" s="10" t="s">
        <v>128</v>
      </c>
      <c r="E21" s="9"/>
      <c r="F21" s="9" t="s">
        <v>129</v>
      </c>
      <c r="G21" s="9" t="s">
        <v>130</v>
      </c>
      <c r="H21" s="9"/>
      <c r="I21" s="9"/>
      <c r="J21" s="9" t="str">
        <f aca="false">IF(I21="","",I21*3600)</f>
        <v/>
      </c>
      <c r="K21" s="11"/>
      <c r="L21" s="11"/>
      <c r="M21" s="9" t="s">
        <v>131</v>
      </c>
      <c r="N21" s="9" t="s">
        <v>69</v>
      </c>
      <c r="O21" s="9" t="s">
        <v>13</v>
      </c>
    </row>
    <row r="22" customFormat="false" ht="26.85" hidden="false" customHeight="false" outlineLevel="0" collapsed="false">
      <c r="A22" s="12" t="s">
        <v>132</v>
      </c>
      <c r="B22" s="12" t="s">
        <v>71</v>
      </c>
      <c r="C22" s="13" t="s">
        <v>133</v>
      </c>
      <c r="D22" s="13" t="s">
        <v>134</v>
      </c>
      <c r="E22" s="12" t="s">
        <v>13</v>
      </c>
      <c r="F22" s="12" t="s">
        <v>129</v>
      </c>
      <c r="G22" s="12" t="s">
        <v>130</v>
      </c>
      <c r="H22" s="12" t="n">
        <v>3</v>
      </c>
      <c r="I22" s="12" t="n">
        <v>1.5</v>
      </c>
      <c r="J22" s="12" t="n">
        <f aca="false">IF(I22="","",I22*3600)</f>
        <v>5400</v>
      </c>
      <c r="K22" s="14"/>
      <c r="L22" s="14"/>
      <c r="M22" s="12" t="s">
        <v>131</v>
      </c>
      <c r="N22" s="12" t="s">
        <v>69</v>
      </c>
      <c r="O22" s="12" t="s">
        <v>13</v>
      </c>
    </row>
    <row r="23" customFormat="false" ht="26.85" hidden="false" customHeight="false" outlineLevel="0" collapsed="false">
      <c r="A23" s="12" t="s">
        <v>135</v>
      </c>
      <c r="B23" s="12" t="s">
        <v>71</v>
      </c>
      <c r="C23" s="13" t="s">
        <v>136</v>
      </c>
      <c r="D23" s="13" t="s">
        <v>137</v>
      </c>
      <c r="E23" s="12" t="s">
        <v>13</v>
      </c>
      <c r="F23" s="12" t="s">
        <v>129</v>
      </c>
      <c r="G23" s="12" t="s">
        <v>130</v>
      </c>
      <c r="H23" s="12" t="n">
        <v>1</v>
      </c>
      <c r="I23" s="12" t="n">
        <v>0.5</v>
      </c>
      <c r="J23" s="12" t="n">
        <f aca="false">IF(I23="","",I23*3600)</f>
        <v>1800</v>
      </c>
      <c r="K23" s="14"/>
      <c r="L23" s="14"/>
      <c r="M23" s="12" t="s">
        <v>131</v>
      </c>
      <c r="N23" s="12" t="s">
        <v>69</v>
      </c>
      <c r="O23" s="12" t="s">
        <v>13</v>
      </c>
    </row>
    <row r="24" customFormat="false" ht="39.55" hidden="false" customHeight="false" outlineLevel="0" collapsed="false">
      <c r="A24" s="12" t="s">
        <v>138</v>
      </c>
      <c r="B24" s="12" t="s">
        <v>71</v>
      </c>
      <c r="C24" s="13" t="s">
        <v>139</v>
      </c>
      <c r="D24" s="13" t="s">
        <v>140</v>
      </c>
      <c r="E24" s="12" t="s">
        <v>13</v>
      </c>
      <c r="F24" s="12" t="s">
        <v>129</v>
      </c>
      <c r="G24" s="12" t="s">
        <v>130</v>
      </c>
      <c r="H24" s="12" t="n">
        <v>2</v>
      </c>
      <c r="I24" s="12" t="n">
        <v>1</v>
      </c>
      <c r="J24" s="12" t="n">
        <f aca="false">IF(I24="","",I24*3600)</f>
        <v>3600</v>
      </c>
      <c r="K24" s="14"/>
      <c r="L24" s="14"/>
      <c r="M24" s="12" t="s">
        <v>131</v>
      </c>
      <c r="N24" s="12" t="s">
        <v>69</v>
      </c>
      <c r="O24" s="12" t="s">
        <v>13</v>
      </c>
    </row>
    <row r="25" customFormat="false" ht="26.85" hidden="false" customHeight="false" outlineLevel="0" collapsed="false">
      <c r="A25" s="12" t="s">
        <v>141</v>
      </c>
      <c r="B25" s="12" t="s">
        <v>71</v>
      </c>
      <c r="C25" s="13" t="s">
        <v>142</v>
      </c>
      <c r="D25" s="13" t="s">
        <v>143</v>
      </c>
      <c r="E25" s="12" t="s">
        <v>13</v>
      </c>
      <c r="F25" s="12" t="s">
        <v>129</v>
      </c>
      <c r="G25" s="12" t="s">
        <v>130</v>
      </c>
      <c r="H25" s="12" t="n">
        <v>1</v>
      </c>
      <c r="I25" s="12" t="n">
        <v>0.5</v>
      </c>
      <c r="J25" s="12" t="n">
        <f aca="false">IF(I25="","",I25*3600)</f>
        <v>1800</v>
      </c>
      <c r="K25" s="14"/>
      <c r="L25" s="14"/>
      <c r="M25" s="12" t="s">
        <v>131</v>
      </c>
      <c r="N25" s="12" t="s">
        <v>69</v>
      </c>
      <c r="O25" s="12" t="s">
        <v>13</v>
      </c>
    </row>
    <row r="26" customFormat="false" ht="26.85" hidden="false" customHeight="false" outlineLevel="0" collapsed="false">
      <c r="A26" s="9" t="s">
        <v>15</v>
      </c>
      <c r="B26" s="9" t="s">
        <v>2</v>
      </c>
      <c r="C26" s="10" t="s">
        <v>16</v>
      </c>
      <c r="D26" s="10" t="s">
        <v>144</v>
      </c>
      <c r="E26" s="9"/>
      <c r="F26" s="9" t="s">
        <v>66</v>
      </c>
      <c r="G26" s="9" t="s">
        <v>145</v>
      </c>
      <c r="H26" s="9"/>
      <c r="I26" s="9"/>
      <c r="J26" s="9" t="str">
        <f aca="false">IF(I26="","",I26*3600)</f>
        <v/>
      </c>
      <c r="K26" s="11" t="n">
        <v>46303</v>
      </c>
      <c r="L26" s="11" t="n">
        <v>46304</v>
      </c>
      <c r="M26" s="9" t="s">
        <v>146</v>
      </c>
      <c r="N26" s="9" t="s">
        <v>69</v>
      </c>
      <c r="O26" s="9" t="s">
        <v>15</v>
      </c>
    </row>
    <row r="27" customFormat="false" ht="26.85" hidden="false" customHeight="false" outlineLevel="0" collapsed="false">
      <c r="A27" s="12" t="s">
        <v>147</v>
      </c>
      <c r="B27" s="12" t="s">
        <v>71</v>
      </c>
      <c r="C27" s="13" t="s">
        <v>148</v>
      </c>
      <c r="D27" s="13" t="s">
        <v>149</v>
      </c>
      <c r="E27" s="12" t="s">
        <v>15</v>
      </c>
      <c r="F27" s="12" t="s">
        <v>66</v>
      </c>
      <c r="G27" s="12" t="s">
        <v>145</v>
      </c>
      <c r="H27" s="12" t="n">
        <v>2</v>
      </c>
      <c r="I27" s="12" t="n">
        <v>1</v>
      </c>
      <c r="J27" s="12" t="n">
        <f aca="false">IF(I27="","",I27*3600)</f>
        <v>3600</v>
      </c>
      <c r="K27" s="14" t="n">
        <v>46303</v>
      </c>
      <c r="L27" s="14" t="n">
        <v>46303</v>
      </c>
      <c r="M27" s="12" t="s">
        <v>146</v>
      </c>
      <c r="N27" s="12" t="s">
        <v>69</v>
      </c>
      <c r="O27" s="12" t="s">
        <v>15</v>
      </c>
    </row>
    <row r="28" customFormat="false" ht="26.85" hidden="false" customHeight="false" outlineLevel="0" collapsed="false">
      <c r="A28" s="12" t="s">
        <v>150</v>
      </c>
      <c r="B28" s="12" t="s">
        <v>71</v>
      </c>
      <c r="C28" s="13" t="s">
        <v>151</v>
      </c>
      <c r="D28" s="13" t="s">
        <v>152</v>
      </c>
      <c r="E28" s="12" t="s">
        <v>15</v>
      </c>
      <c r="F28" s="12" t="s">
        <v>66</v>
      </c>
      <c r="G28" s="12" t="s">
        <v>145</v>
      </c>
      <c r="H28" s="12" t="n">
        <v>1</v>
      </c>
      <c r="I28" s="12" t="n">
        <v>0.5</v>
      </c>
      <c r="J28" s="12" t="n">
        <f aca="false">IF(I28="","",I28*3600)</f>
        <v>1800</v>
      </c>
      <c r="K28" s="14" t="n">
        <v>46303</v>
      </c>
      <c r="L28" s="14" t="n">
        <v>46303</v>
      </c>
      <c r="M28" s="12" t="s">
        <v>146</v>
      </c>
      <c r="N28" s="12" t="s">
        <v>69</v>
      </c>
      <c r="O28" s="12" t="s">
        <v>15</v>
      </c>
    </row>
    <row r="29" customFormat="false" ht="26.85" hidden="false" customHeight="false" outlineLevel="0" collapsed="false">
      <c r="A29" s="12" t="s">
        <v>153</v>
      </c>
      <c r="B29" s="12" t="s">
        <v>71</v>
      </c>
      <c r="C29" s="13" t="s">
        <v>154</v>
      </c>
      <c r="D29" s="13" t="s">
        <v>155</v>
      </c>
      <c r="E29" s="12" t="s">
        <v>15</v>
      </c>
      <c r="F29" s="12" t="s">
        <v>66</v>
      </c>
      <c r="G29" s="12" t="s">
        <v>145</v>
      </c>
      <c r="H29" s="12" t="n">
        <v>3</v>
      </c>
      <c r="I29" s="12" t="n">
        <v>1.5</v>
      </c>
      <c r="J29" s="12" t="n">
        <f aca="false">IF(I29="","",I29*3600)</f>
        <v>5400</v>
      </c>
      <c r="K29" s="14" t="n">
        <v>46303</v>
      </c>
      <c r="L29" s="14" t="n">
        <v>46303</v>
      </c>
      <c r="M29" s="12" t="s">
        <v>146</v>
      </c>
      <c r="N29" s="12" t="s">
        <v>69</v>
      </c>
      <c r="O29" s="12" t="s">
        <v>15</v>
      </c>
    </row>
    <row r="30" customFormat="false" ht="26.85" hidden="false" customHeight="false" outlineLevel="0" collapsed="false">
      <c r="A30" s="12" t="s">
        <v>156</v>
      </c>
      <c r="B30" s="12" t="s">
        <v>71</v>
      </c>
      <c r="C30" s="13" t="s">
        <v>157</v>
      </c>
      <c r="D30" s="13" t="s">
        <v>158</v>
      </c>
      <c r="E30" s="12" t="s">
        <v>15</v>
      </c>
      <c r="F30" s="12" t="s">
        <v>66</v>
      </c>
      <c r="G30" s="12" t="s">
        <v>145</v>
      </c>
      <c r="H30" s="12" t="n">
        <v>2</v>
      </c>
      <c r="I30" s="12" t="n">
        <v>1</v>
      </c>
      <c r="J30" s="12" t="n">
        <f aca="false">IF(I30="","",I30*3600)</f>
        <v>3600</v>
      </c>
      <c r="K30" s="14" t="n">
        <v>46304</v>
      </c>
      <c r="L30" s="14" t="n">
        <v>46304</v>
      </c>
      <c r="M30" s="12" t="s">
        <v>146</v>
      </c>
      <c r="N30" s="12" t="s">
        <v>69</v>
      </c>
      <c r="O30" s="12" t="s">
        <v>15</v>
      </c>
    </row>
    <row r="31" customFormat="false" ht="26.85" hidden="false" customHeight="false" outlineLevel="0" collapsed="false">
      <c r="A31" s="12" t="s">
        <v>159</v>
      </c>
      <c r="B31" s="12" t="s">
        <v>71</v>
      </c>
      <c r="C31" s="13" t="s">
        <v>160</v>
      </c>
      <c r="D31" s="13" t="s">
        <v>161</v>
      </c>
      <c r="E31" s="12" t="s">
        <v>15</v>
      </c>
      <c r="F31" s="12" t="s">
        <v>66</v>
      </c>
      <c r="G31" s="12" t="s">
        <v>145</v>
      </c>
      <c r="H31" s="12" t="n">
        <v>2</v>
      </c>
      <c r="I31" s="12" t="n">
        <v>1</v>
      </c>
      <c r="J31" s="12" t="n">
        <f aca="false">IF(I31="","",I31*3600)</f>
        <v>3600</v>
      </c>
      <c r="K31" s="14" t="n">
        <v>46304</v>
      </c>
      <c r="L31" s="14" t="n">
        <v>46304</v>
      </c>
      <c r="M31" s="12" t="s">
        <v>146</v>
      </c>
      <c r="N31" s="12" t="s">
        <v>69</v>
      </c>
      <c r="O31" s="12" t="s">
        <v>15</v>
      </c>
    </row>
    <row r="32" customFormat="false" ht="26.85" hidden="false" customHeight="false" outlineLevel="0" collapsed="false">
      <c r="A32" s="12" t="s">
        <v>162</v>
      </c>
      <c r="B32" s="12" t="s">
        <v>71</v>
      </c>
      <c r="C32" s="13" t="s">
        <v>163</v>
      </c>
      <c r="D32" s="13" t="s">
        <v>164</v>
      </c>
      <c r="E32" s="12" t="s">
        <v>15</v>
      </c>
      <c r="F32" s="12" t="s">
        <v>66</v>
      </c>
      <c r="G32" s="12" t="s">
        <v>145</v>
      </c>
      <c r="H32" s="12" t="n">
        <v>3</v>
      </c>
      <c r="I32" s="12" t="n">
        <v>1.5</v>
      </c>
      <c r="J32" s="12" t="n">
        <f aca="false">IF(I32="","",I32*3600)</f>
        <v>5400</v>
      </c>
      <c r="K32" s="14" t="n">
        <v>46304</v>
      </c>
      <c r="L32" s="14" t="n">
        <v>46304</v>
      </c>
      <c r="M32" s="12" t="s">
        <v>146</v>
      </c>
      <c r="N32" s="12" t="s">
        <v>69</v>
      </c>
      <c r="O32" s="12" t="s">
        <v>15</v>
      </c>
    </row>
    <row r="33" customFormat="false" ht="26.85" hidden="false" customHeight="false" outlineLevel="0" collapsed="false">
      <c r="A33" s="12" t="s">
        <v>165</v>
      </c>
      <c r="B33" s="12" t="s">
        <v>71</v>
      </c>
      <c r="C33" s="13" t="s">
        <v>166</v>
      </c>
      <c r="D33" s="13" t="s">
        <v>167</v>
      </c>
      <c r="E33" s="12" t="s">
        <v>15</v>
      </c>
      <c r="F33" s="12" t="s">
        <v>74</v>
      </c>
      <c r="G33" s="12" t="s">
        <v>145</v>
      </c>
      <c r="H33" s="12" t="n">
        <v>1</v>
      </c>
      <c r="I33" s="12" t="n">
        <v>0.5</v>
      </c>
      <c r="J33" s="12" t="n">
        <f aca="false">IF(I33="","",I33*3600)</f>
        <v>1800</v>
      </c>
      <c r="K33" s="14" t="n">
        <v>46304</v>
      </c>
      <c r="L33" s="14" t="n">
        <v>46304</v>
      </c>
      <c r="M33" s="12" t="s">
        <v>146</v>
      </c>
      <c r="N33" s="12" t="s">
        <v>69</v>
      </c>
      <c r="O33" s="12" t="s">
        <v>15</v>
      </c>
    </row>
    <row r="34" customFormat="false" ht="26.85" hidden="false" customHeight="false" outlineLevel="0" collapsed="false">
      <c r="A34" s="9" t="s">
        <v>17</v>
      </c>
      <c r="B34" s="9" t="s">
        <v>2</v>
      </c>
      <c r="C34" s="10" t="s">
        <v>18</v>
      </c>
      <c r="D34" s="10" t="s">
        <v>168</v>
      </c>
      <c r="E34" s="9"/>
      <c r="F34" s="9" t="s">
        <v>66</v>
      </c>
      <c r="G34" s="9" t="s">
        <v>169</v>
      </c>
      <c r="H34" s="9"/>
      <c r="I34" s="9"/>
      <c r="J34" s="9" t="str">
        <f aca="false">IF(I34="","",I34*3600)</f>
        <v/>
      </c>
      <c r="K34" s="11" t="n">
        <v>46304</v>
      </c>
      <c r="L34" s="11" t="n">
        <v>46304</v>
      </c>
      <c r="M34" s="9" t="s">
        <v>170</v>
      </c>
      <c r="N34" s="9" t="s">
        <v>69</v>
      </c>
      <c r="O34" s="9" t="s">
        <v>17</v>
      </c>
    </row>
    <row r="35" customFormat="false" ht="26.85" hidden="false" customHeight="false" outlineLevel="0" collapsed="false">
      <c r="A35" s="12" t="s">
        <v>171</v>
      </c>
      <c r="B35" s="12" t="s">
        <v>71</v>
      </c>
      <c r="C35" s="13" t="s">
        <v>172</v>
      </c>
      <c r="D35" s="13" t="s">
        <v>173</v>
      </c>
      <c r="E35" s="12" t="s">
        <v>17</v>
      </c>
      <c r="F35" s="12" t="s">
        <v>66</v>
      </c>
      <c r="G35" s="12" t="s">
        <v>169</v>
      </c>
      <c r="H35" s="12" t="n">
        <v>1</v>
      </c>
      <c r="I35" s="12" t="n">
        <v>0.5</v>
      </c>
      <c r="J35" s="12" t="n">
        <f aca="false">IF(I35="","",I35*3600)</f>
        <v>1800</v>
      </c>
      <c r="K35" s="14" t="n">
        <v>46304</v>
      </c>
      <c r="L35" s="14" t="n">
        <v>46304</v>
      </c>
      <c r="M35" s="12" t="s">
        <v>170</v>
      </c>
      <c r="N35" s="12" t="s">
        <v>69</v>
      </c>
      <c r="O35" s="12" t="s">
        <v>17</v>
      </c>
    </row>
    <row r="36" customFormat="false" ht="15" hidden="false" customHeight="false" outlineLevel="0" collapsed="false">
      <c r="A36" s="12" t="s">
        <v>174</v>
      </c>
      <c r="B36" s="12" t="s">
        <v>71</v>
      </c>
      <c r="C36" s="13" t="s">
        <v>175</v>
      </c>
      <c r="D36" s="13" t="s">
        <v>176</v>
      </c>
      <c r="E36" s="12" t="s">
        <v>17</v>
      </c>
      <c r="F36" s="12" t="s">
        <v>66</v>
      </c>
      <c r="G36" s="12" t="s">
        <v>169</v>
      </c>
      <c r="H36" s="12" t="n">
        <v>2</v>
      </c>
      <c r="I36" s="12" t="n">
        <v>1</v>
      </c>
      <c r="J36" s="12" t="n">
        <f aca="false">IF(I36="","",I36*3600)</f>
        <v>3600</v>
      </c>
      <c r="K36" s="14" t="n">
        <v>46304</v>
      </c>
      <c r="L36" s="14" t="n">
        <v>46304</v>
      </c>
      <c r="M36" s="12" t="s">
        <v>170</v>
      </c>
      <c r="N36" s="12" t="s">
        <v>69</v>
      </c>
      <c r="O36" s="12" t="s">
        <v>17</v>
      </c>
    </row>
    <row r="37" customFormat="false" ht="39.55" hidden="false" customHeight="false" outlineLevel="0" collapsed="false">
      <c r="A37" s="12" t="s">
        <v>177</v>
      </c>
      <c r="B37" s="12" t="s">
        <v>71</v>
      </c>
      <c r="C37" s="13" t="s">
        <v>178</v>
      </c>
      <c r="D37" s="13" t="s">
        <v>179</v>
      </c>
      <c r="E37" s="12" t="s">
        <v>17</v>
      </c>
      <c r="F37" s="12" t="s">
        <v>66</v>
      </c>
      <c r="G37" s="12" t="s">
        <v>169</v>
      </c>
      <c r="H37" s="12" t="n">
        <v>3</v>
      </c>
      <c r="I37" s="12" t="n">
        <v>2</v>
      </c>
      <c r="J37" s="12" t="n">
        <f aca="false">IF(I37="","",I37*3600)</f>
        <v>7200</v>
      </c>
      <c r="K37" s="14" t="n">
        <v>46304</v>
      </c>
      <c r="L37" s="14" t="n">
        <v>46304</v>
      </c>
      <c r="M37" s="12" t="s">
        <v>170</v>
      </c>
      <c r="N37" s="12" t="s">
        <v>69</v>
      </c>
      <c r="O37" s="12" t="s">
        <v>17</v>
      </c>
    </row>
    <row r="38" customFormat="false" ht="26.85" hidden="false" customHeight="false" outlineLevel="0" collapsed="false">
      <c r="A38" s="12" t="s">
        <v>180</v>
      </c>
      <c r="B38" s="12" t="s">
        <v>71</v>
      </c>
      <c r="C38" s="13" t="s">
        <v>181</v>
      </c>
      <c r="D38" s="13" t="s">
        <v>182</v>
      </c>
      <c r="E38" s="12" t="s">
        <v>17</v>
      </c>
      <c r="F38" s="12" t="s">
        <v>74</v>
      </c>
      <c r="G38" s="12" t="s">
        <v>169</v>
      </c>
      <c r="H38" s="12" t="n">
        <v>2</v>
      </c>
      <c r="I38" s="12" t="n">
        <v>1</v>
      </c>
      <c r="J38" s="12" t="n">
        <f aca="false">IF(I38="","",I38*3600)</f>
        <v>3600</v>
      </c>
      <c r="K38" s="14" t="n">
        <v>46304</v>
      </c>
      <c r="L38" s="14" t="n">
        <v>46304</v>
      </c>
      <c r="M38" s="12" t="s">
        <v>170</v>
      </c>
      <c r="N38" s="12" t="s">
        <v>69</v>
      </c>
      <c r="O38" s="12" t="s">
        <v>17</v>
      </c>
    </row>
    <row r="39" customFormat="false" ht="26.85" hidden="false" customHeight="false" outlineLevel="0" collapsed="false">
      <c r="A39" s="9" t="s">
        <v>19</v>
      </c>
      <c r="B39" s="9" t="s">
        <v>2</v>
      </c>
      <c r="C39" s="10" t="s">
        <v>20</v>
      </c>
      <c r="D39" s="10" t="s">
        <v>183</v>
      </c>
      <c r="E39" s="9"/>
      <c r="F39" s="9" t="s">
        <v>66</v>
      </c>
      <c r="G39" s="9" t="s">
        <v>184</v>
      </c>
      <c r="H39" s="9"/>
      <c r="I39" s="9"/>
      <c r="J39" s="9" t="str">
        <f aca="false">IF(I39="","",I39*3600)</f>
        <v/>
      </c>
      <c r="K39" s="11" t="n">
        <v>46304</v>
      </c>
      <c r="L39" s="11" t="n">
        <v>46304</v>
      </c>
      <c r="M39" s="9" t="s">
        <v>185</v>
      </c>
      <c r="N39" s="9" t="s">
        <v>69</v>
      </c>
      <c r="O39" s="9" t="s">
        <v>19</v>
      </c>
    </row>
    <row r="40" customFormat="false" ht="26.85" hidden="false" customHeight="false" outlineLevel="0" collapsed="false">
      <c r="A40" s="12" t="s">
        <v>186</v>
      </c>
      <c r="B40" s="12" t="s">
        <v>71</v>
      </c>
      <c r="C40" s="13" t="s">
        <v>187</v>
      </c>
      <c r="D40" s="13" t="s">
        <v>188</v>
      </c>
      <c r="E40" s="12" t="s">
        <v>19</v>
      </c>
      <c r="F40" s="12" t="s">
        <v>66</v>
      </c>
      <c r="G40" s="12" t="s">
        <v>184</v>
      </c>
      <c r="H40" s="12" t="n">
        <v>1</v>
      </c>
      <c r="I40" s="12" t="n">
        <v>0.5</v>
      </c>
      <c r="J40" s="12" t="n">
        <f aca="false">IF(I40="","",I40*3600)</f>
        <v>1800</v>
      </c>
      <c r="K40" s="14" t="n">
        <v>46304</v>
      </c>
      <c r="L40" s="14" t="n">
        <v>46304</v>
      </c>
      <c r="M40" s="12" t="s">
        <v>185</v>
      </c>
      <c r="N40" s="12" t="s">
        <v>69</v>
      </c>
      <c r="O40" s="12" t="s">
        <v>19</v>
      </c>
    </row>
    <row r="41" customFormat="false" ht="52.2" hidden="false" customHeight="false" outlineLevel="0" collapsed="false">
      <c r="A41" s="12" t="s">
        <v>189</v>
      </c>
      <c r="B41" s="12" t="s">
        <v>71</v>
      </c>
      <c r="C41" s="13" t="s">
        <v>190</v>
      </c>
      <c r="D41" s="13" t="s">
        <v>191</v>
      </c>
      <c r="E41" s="12" t="s">
        <v>19</v>
      </c>
      <c r="F41" s="12" t="s">
        <v>66</v>
      </c>
      <c r="G41" s="12" t="s">
        <v>184</v>
      </c>
      <c r="H41" s="12" t="n">
        <v>1</v>
      </c>
      <c r="I41" s="12" t="n">
        <v>0.5</v>
      </c>
      <c r="J41" s="12" t="n">
        <f aca="false">IF(I41="","",I41*3600)</f>
        <v>1800</v>
      </c>
      <c r="K41" s="14" t="n">
        <v>46304</v>
      </c>
      <c r="L41" s="14" t="n">
        <v>46304</v>
      </c>
      <c r="M41" s="12" t="s">
        <v>185</v>
      </c>
      <c r="N41" s="12" t="s">
        <v>69</v>
      </c>
      <c r="O41" s="12" t="s">
        <v>19</v>
      </c>
    </row>
    <row r="42" customFormat="false" ht="39.55" hidden="false" customHeight="false" outlineLevel="0" collapsed="false">
      <c r="A42" s="12" t="s">
        <v>192</v>
      </c>
      <c r="B42" s="12" t="s">
        <v>71</v>
      </c>
      <c r="C42" s="13" t="s">
        <v>193</v>
      </c>
      <c r="D42" s="13" t="s">
        <v>194</v>
      </c>
      <c r="E42" s="12" t="s">
        <v>19</v>
      </c>
      <c r="F42" s="12" t="s">
        <v>66</v>
      </c>
      <c r="G42" s="12" t="s">
        <v>184</v>
      </c>
      <c r="H42" s="12" t="n">
        <v>3</v>
      </c>
      <c r="I42" s="12" t="n">
        <v>2</v>
      </c>
      <c r="J42" s="12" t="n">
        <f aca="false">IF(I42="","",I42*3600)</f>
        <v>7200</v>
      </c>
      <c r="K42" s="14" t="n">
        <v>46304</v>
      </c>
      <c r="L42" s="14" t="n">
        <v>46304</v>
      </c>
      <c r="M42" s="12" t="s">
        <v>185</v>
      </c>
      <c r="N42" s="12" t="s">
        <v>69</v>
      </c>
      <c r="O42" s="12" t="s">
        <v>19</v>
      </c>
    </row>
    <row r="43" customFormat="false" ht="26.85" hidden="false" customHeight="false" outlineLevel="0" collapsed="false">
      <c r="A43" s="12" t="s">
        <v>195</v>
      </c>
      <c r="B43" s="12" t="s">
        <v>71</v>
      </c>
      <c r="C43" s="13" t="s">
        <v>196</v>
      </c>
      <c r="D43" s="13" t="s">
        <v>197</v>
      </c>
      <c r="E43" s="12" t="s">
        <v>19</v>
      </c>
      <c r="F43" s="12" t="s">
        <v>74</v>
      </c>
      <c r="G43" s="12" t="s">
        <v>184</v>
      </c>
      <c r="H43" s="12" t="n">
        <v>2</v>
      </c>
      <c r="I43" s="12" t="n">
        <v>1</v>
      </c>
      <c r="J43" s="12" t="n">
        <f aca="false">IF(I43="","",I43*3600)</f>
        <v>3600</v>
      </c>
      <c r="K43" s="14" t="n">
        <v>46304</v>
      </c>
      <c r="L43" s="14" t="n">
        <v>46304</v>
      </c>
      <c r="M43" s="12" t="s">
        <v>185</v>
      </c>
      <c r="N43" s="12" t="s">
        <v>69</v>
      </c>
      <c r="O43" s="12" t="s">
        <v>19</v>
      </c>
    </row>
    <row r="44" customFormat="false" ht="15" hidden="false" customHeight="false" outlineLevel="0" collapsed="false">
      <c r="A44" s="9" t="s">
        <v>21</v>
      </c>
      <c r="B44" s="9" t="s">
        <v>2</v>
      </c>
      <c r="C44" s="10" t="s">
        <v>22</v>
      </c>
      <c r="D44" s="10" t="s">
        <v>198</v>
      </c>
      <c r="E44" s="9"/>
      <c r="F44" s="9" t="s">
        <v>66</v>
      </c>
      <c r="G44" s="9" t="s">
        <v>199</v>
      </c>
      <c r="H44" s="9"/>
      <c r="I44" s="9"/>
      <c r="J44" s="9" t="str">
        <f aca="false">IF(I44="","",I44*3600)</f>
        <v/>
      </c>
      <c r="K44" s="11" t="n">
        <v>46305</v>
      </c>
      <c r="L44" s="11" t="n">
        <v>46305</v>
      </c>
      <c r="M44" s="9" t="s">
        <v>200</v>
      </c>
      <c r="N44" s="9" t="s">
        <v>69</v>
      </c>
      <c r="O44" s="9" t="s">
        <v>21</v>
      </c>
    </row>
    <row r="45" customFormat="false" ht="26.85" hidden="false" customHeight="false" outlineLevel="0" collapsed="false">
      <c r="A45" s="12" t="s">
        <v>201</v>
      </c>
      <c r="B45" s="12" t="s">
        <v>71</v>
      </c>
      <c r="C45" s="13" t="s">
        <v>202</v>
      </c>
      <c r="D45" s="13" t="s">
        <v>203</v>
      </c>
      <c r="E45" s="12" t="s">
        <v>21</v>
      </c>
      <c r="F45" s="12" t="s">
        <v>66</v>
      </c>
      <c r="G45" s="12" t="s">
        <v>199</v>
      </c>
      <c r="H45" s="12" t="n">
        <v>2</v>
      </c>
      <c r="I45" s="12" t="n">
        <v>1</v>
      </c>
      <c r="J45" s="12" t="n">
        <f aca="false">IF(I45="","",I45*3600)</f>
        <v>3600</v>
      </c>
      <c r="K45" s="14" t="n">
        <v>46305</v>
      </c>
      <c r="L45" s="14" t="n">
        <v>46305</v>
      </c>
      <c r="M45" s="12" t="s">
        <v>200</v>
      </c>
      <c r="N45" s="12" t="s">
        <v>69</v>
      </c>
      <c r="O45" s="12" t="s">
        <v>21</v>
      </c>
    </row>
    <row r="46" customFormat="false" ht="26.85" hidden="false" customHeight="false" outlineLevel="0" collapsed="false">
      <c r="A46" s="12" t="s">
        <v>204</v>
      </c>
      <c r="B46" s="12" t="s">
        <v>71</v>
      </c>
      <c r="C46" s="13" t="s">
        <v>205</v>
      </c>
      <c r="D46" s="13" t="s">
        <v>206</v>
      </c>
      <c r="E46" s="12" t="s">
        <v>21</v>
      </c>
      <c r="F46" s="12" t="s">
        <v>66</v>
      </c>
      <c r="G46" s="12" t="s">
        <v>199</v>
      </c>
      <c r="H46" s="12" t="n">
        <v>3</v>
      </c>
      <c r="I46" s="12" t="n">
        <v>1.5</v>
      </c>
      <c r="J46" s="12" t="n">
        <f aca="false">IF(I46="","",I46*3600)</f>
        <v>5400</v>
      </c>
      <c r="K46" s="14" t="n">
        <v>46305</v>
      </c>
      <c r="L46" s="14" t="n">
        <v>46305</v>
      </c>
      <c r="M46" s="12" t="s">
        <v>200</v>
      </c>
      <c r="N46" s="12" t="s">
        <v>69</v>
      </c>
      <c r="O46" s="12" t="s">
        <v>21</v>
      </c>
    </row>
    <row r="47" customFormat="false" ht="26.85" hidden="false" customHeight="false" outlineLevel="0" collapsed="false">
      <c r="A47" s="12" t="s">
        <v>207</v>
      </c>
      <c r="B47" s="12" t="s">
        <v>71</v>
      </c>
      <c r="C47" s="13" t="s">
        <v>208</v>
      </c>
      <c r="D47" s="13" t="s">
        <v>209</v>
      </c>
      <c r="E47" s="12" t="s">
        <v>21</v>
      </c>
      <c r="F47" s="12" t="s">
        <v>66</v>
      </c>
      <c r="G47" s="12" t="s">
        <v>199</v>
      </c>
      <c r="H47" s="12" t="n">
        <v>2</v>
      </c>
      <c r="I47" s="12" t="n">
        <v>1</v>
      </c>
      <c r="J47" s="12" t="n">
        <f aca="false">IF(I47="","",I47*3600)</f>
        <v>3600</v>
      </c>
      <c r="K47" s="14" t="n">
        <v>46305</v>
      </c>
      <c r="L47" s="14" t="n">
        <v>46305</v>
      </c>
      <c r="M47" s="12" t="s">
        <v>200</v>
      </c>
      <c r="N47" s="12" t="s">
        <v>69</v>
      </c>
      <c r="O47" s="12" t="s">
        <v>21</v>
      </c>
    </row>
    <row r="48" customFormat="false" ht="39.55" hidden="false" customHeight="false" outlineLevel="0" collapsed="false">
      <c r="A48" s="12" t="s">
        <v>210</v>
      </c>
      <c r="B48" s="12" t="s">
        <v>71</v>
      </c>
      <c r="C48" s="13" t="s">
        <v>211</v>
      </c>
      <c r="D48" s="13" t="s">
        <v>212</v>
      </c>
      <c r="E48" s="12" t="s">
        <v>21</v>
      </c>
      <c r="F48" s="12" t="s">
        <v>66</v>
      </c>
      <c r="G48" s="12" t="s">
        <v>199</v>
      </c>
      <c r="H48" s="12" t="n">
        <v>3</v>
      </c>
      <c r="I48" s="12" t="n">
        <v>1.5</v>
      </c>
      <c r="J48" s="12" t="n">
        <f aca="false">IF(I48="","",I48*3600)</f>
        <v>5400</v>
      </c>
      <c r="K48" s="14" t="n">
        <v>46305</v>
      </c>
      <c r="L48" s="14" t="n">
        <v>46305</v>
      </c>
      <c r="M48" s="12" t="s">
        <v>200</v>
      </c>
      <c r="N48" s="12" t="s">
        <v>69</v>
      </c>
      <c r="O48" s="12" t="s">
        <v>21</v>
      </c>
    </row>
    <row r="49" customFormat="false" ht="26.85" hidden="false" customHeight="false" outlineLevel="0" collapsed="false">
      <c r="A49" s="12" t="s">
        <v>213</v>
      </c>
      <c r="B49" s="12" t="s">
        <v>71</v>
      </c>
      <c r="C49" s="13" t="s">
        <v>214</v>
      </c>
      <c r="D49" s="13" t="s">
        <v>215</v>
      </c>
      <c r="E49" s="12" t="s">
        <v>21</v>
      </c>
      <c r="F49" s="12" t="s">
        <v>74</v>
      </c>
      <c r="G49" s="12" t="s">
        <v>199</v>
      </c>
      <c r="H49" s="12" t="n">
        <v>2</v>
      </c>
      <c r="I49" s="12" t="n">
        <v>1</v>
      </c>
      <c r="J49" s="12" t="n">
        <f aca="false">IF(I49="","",I49*3600)</f>
        <v>3600</v>
      </c>
      <c r="K49" s="14" t="n">
        <v>46305</v>
      </c>
      <c r="L49" s="14" t="n">
        <v>46305</v>
      </c>
      <c r="M49" s="12" t="s">
        <v>200</v>
      </c>
      <c r="N49" s="12" t="s">
        <v>69</v>
      </c>
      <c r="O49" s="12" t="s">
        <v>21</v>
      </c>
    </row>
    <row r="50" customFormat="false" ht="26.85" hidden="false" customHeight="false" outlineLevel="0" collapsed="false">
      <c r="A50" s="12" t="s">
        <v>216</v>
      </c>
      <c r="B50" s="12" t="s">
        <v>71</v>
      </c>
      <c r="C50" s="13" t="s">
        <v>217</v>
      </c>
      <c r="D50" s="13" t="s">
        <v>218</v>
      </c>
      <c r="E50" s="12" t="s">
        <v>21</v>
      </c>
      <c r="F50" s="12" t="s">
        <v>66</v>
      </c>
      <c r="G50" s="12" t="s">
        <v>199</v>
      </c>
      <c r="H50" s="12" t="n">
        <v>2</v>
      </c>
      <c r="I50" s="12" t="n">
        <v>1</v>
      </c>
      <c r="J50" s="12" t="n">
        <f aca="false">IF(I50="","",I50*3600)</f>
        <v>3600</v>
      </c>
      <c r="K50" s="14" t="n">
        <v>46305</v>
      </c>
      <c r="L50" s="14" t="n">
        <v>46305</v>
      </c>
      <c r="M50" s="12" t="s">
        <v>200</v>
      </c>
      <c r="N50" s="12" t="s">
        <v>69</v>
      </c>
      <c r="O50" s="12" t="s">
        <v>21</v>
      </c>
    </row>
    <row r="51" customFormat="false" ht="26.85" hidden="false" customHeight="false" outlineLevel="0" collapsed="false">
      <c r="A51" s="9" t="s">
        <v>23</v>
      </c>
      <c r="B51" s="9" t="s">
        <v>2</v>
      </c>
      <c r="C51" s="10" t="s">
        <v>24</v>
      </c>
      <c r="D51" s="10" t="s">
        <v>219</v>
      </c>
      <c r="E51" s="9"/>
      <c r="F51" s="9" t="s">
        <v>66</v>
      </c>
      <c r="G51" s="9" t="s">
        <v>220</v>
      </c>
      <c r="H51" s="9"/>
      <c r="I51" s="9"/>
      <c r="J51" s="9" t="str">
        <f aca="false">IF(I51="","",I51*3600)</f>
        <v/>
      </c>
      <c r="K51" s="11" t="n">
        <v>46305</v>
      </c>
      <c r="L51" s="11" t="n">
        <v>46306</v>
      </c>
      <c r="M51" s="9" t="s">
        <v>221</v>
      </c>
      <c r="N51" s="9" t="s">
        <v>69</v>
      </c>
      <c r="O51" s="9" t="s">
        <v>23</v>
      </c>
    </row>
    <row r="52" customFormat="false" ht="26.85" hidden="false" customHeight="false" outlineLevel="0" collapsed="false">
      <c r="A52" s="12" t="s">
        <v>222</v>
      </c>
      <c r="B52" s="12" t="s">
        <v>71</v>
      </c>
      <c r="C52" s="13" t="s">
        <v>223</v>
      </c>
      <c r="D52" s="13" t="s">
        <v>224</v>
      </c>
      <c r="E52" s="12" t="s">
        <v>23</v>
      </c>
      <c r="F52" s="12" t="s">
        <v>66</v>
      </c>
      <c r="G52" s="12" t="s">
        <v>220</v>
      </c>
      <c r="H52" s="12" t="n">
        <v>3</v>
      </c>
      <c r="I52" s="12" t="n">
        <v>2</v>
      </c>
      <c r="J52" s="12" t="n">
        <f aca="false">IF(I52="","",I52*3600)</f>
        <v>7200</v>
      </c>
      <c r="K52" s="14" t="n">
        <v>46305</v>
      </c>
      <c r="L52" s="14" t="n">
        <v>46305</v>
      </c>
      <c r="M52" s="12" t="s">
        <v>221</v>
      </c>
      <c r="N52" s="12" t="s">
        <v>69</v>
      </c>
      <c r="O52" s="12" t="s">
        <v>23</v>
      </c>
    </row>
    <row r="53" customFormat="false" ht="15" hidden="false" customHeight="false" outlineLevel="0" collapsed="false">
      <c r="A53" s="12" t="s">
        <v>225</v>
      </c>
      <c r="B53" s="12" t="s">
        <v>71</v>
      </c>
      <c r="C53" s="13" t="s">
        <v>226</v>
      </c>
      <c r="D53" s="13" t="s">
        <v>227</v>
      </c>
      <c r="E53" s="12" t="s">
        <v>23</v>
      </c>
      <c r="F53" s="12" t="s">
        <v>66</v>
      </c>
      <c r="G53" s="12" t="s">
        <v>220</v>
      </c>
      <c r="H53" s="12" t="n">
        <v>1</v>
      </c>
      <c r="I53" s="12" t="n">
        <v>0.5</v>
      </c>
      <c r="J53" s="12" t="n">
        <f aca="false">IF(I53="","",I53*3600)</f>
        <v>1800</v>
      </c>
      <c r="K53" s="14" t="n">
        <v>46305</v>
      </c>
      <c r="L53" s="14" t="n">
        <v>46305</v>
      </c>
      <c r="M53" s="12" t="s">
        <v>221</v>
      </c>
      <c r="N53" s="12" t="s">
        <v>69</v>
      </c>
      <c r="O53" s="12" t="s">
        <v>23</v>
      </c>
    </row>
    <row r="54" customFormat="false" ht="39.55" hidden="false" customHeight="false" outlineLevel="0" collapsed="false">
      <c r="A54" s="12" t="s">
        <v>228</v>
      </c>
      <c r="B54" s="12" t="s">
        <v>71</v>
      </c>
      <c r="C54" s="13" t="s">
        <v>229</v>
      </c>
      <c r="D54" s="13" t="s">
        <v>230</v>
      </c>
      <c r="E54" s="12" t="s">
        <v>23</v>
      </c>
      <c r="F54" s="12" t="s">
        <v>66</v>
      </c>
      <c r="G54" s="12" t="s">
        <v>220</v>
      </c>
      <c r="H54" s="12" t="n">
        <v>5</v>
      </c>
      <c r="I54" s="12" t="n">
        <v>3</v>
      </c>
      <c r="J54" s="12" t="n">
        <f aca="false">IF(I54="","",I54*3600)</f>
        <v>10800</v>
      </c>
      <c r="K54" s="14" t="n">
        <v>46305</v>
      </c>
      <c r="L54" s="14" t="n">
        <v>46305</v>
      </c>
      <c r="M54" s="12" t="s">
        <v>221</v>
      </c>
      <c r="N54" s="12" t="s">
        <v>69</v>
      </c>
      <c r="O54" s="12" t="s">
        <v>23</v>
      </c>
    </row>
    <row r="55" customFormat="false" ht="26.85" hidden="false" customHeight="false" outlineLevel="0" collapsed="false">
      <c r="A55" s="12" t="s">
        <v>231</v>
      </c>
      <c r="B55" s="12" t="s">
        <v>71</v>
      </c>
      <c r="C55" s="13" t="s">
        <v>232</v>
      </c>
      <c r="D55" s="13" t="s">
        <v>233</v>
      </c>
      <c r="E55" s="12" t="s">
        <v>23</v>
      </c>
      <c r="F55" s="12" t="s">
        <v>66</v>
      </c>
      <c r="G55" s="12" t="s">
        <v>220</v>
      </c>
      <c r="H55" s="12" t="n">
        <v>3</v>
      </c>
      <c r="I55" s="12" t="n">
        <v>1.5</v>
      </c>
      <c r="J55" s="12" t="n">
        <f aca="false">IF(I55="","",I55*3600)</f>
        <v>5400</v>
      </c>
      <c r="K55" s="14" t="n">
        <v>46306</v>
      </c>
      <c r="L55" s="14" t="n">
        <v>46306</v>
      </c>
      <c r="M55" s="12" t="s">
        <v>221</v>
      </c>
      <c r="N55" s="12" t="s">
        <v>69</v>
      </c>
      <c r="O55" s="12" t="s">
        <v>23</v>
      </c>
    </row>
    <row r="56" customFormat="false" ht="26.85" hidden="false" customHeight="false" outlineLevel="0" collapsed="false">
      <c r="A56" s="12" t="s">
        <v>234</v>
      </c>
      <c r="B56" s="12" t="s">
        <v>71</v>
      </c>
      <c r="C56" s="13" t="s">
        <v>235</v>
      </c>
      <c r="D56" s="13" t="s">
        <v>236</v>
      </c>
      <c r="E56" s="12" t="s">
        <v>23</v>
      </c>
      <c r="F56" s="12" t="s">
        <v>66</v>
      </c>
      <c r="G56" s="12" t="s">
        <v>220</v>
      </c>
      <c r="H56" s="12" t="n">
        <v>2</v>
      </c>
      <c r="I56" s="12" t="n">
        <v>1</v>
      </c>
      <c r="J56" s="12" t="n">
        <f aca="false">IF(I56="","",I56*3600)</f>
        <v>3600</v>
      </c>
      <c r="K56" s="14" t="n">
        <v>46306</v>
      </c>
      <c r="L56" s="14" t="n">
        <v>46306</v>
      </c>
      <c r="M56" s="12" t="s">
        <v>221</v>
      </c>
      <c r="N56" s="12" t="s">
        <v>69</v>
      </c>
      <c r="O56" s="12" t="s">
        <v>23</v>
      </c>
    </row>
    <row r="57" customFormat="false" ht="39.55" hidden="false" customHeight="false" outlineLevel="0" collapsed="false">
      <c r="A57" s="12" t="s">
        <v>237</v>
      </c>
      <c r="B57" s="12" t="s">
        <v>71</v>
      </c>
      <c r="C57" s="13" t="s">
        <v>238</v>
      </c>
      <c r="D57" s="13" t="s">
        <v>239</v>
      </c>
      <c r="E57" s="12" t="s">
        <v>23</v>
      </c>
      <c r="F57" s="12" t="s">
        <v>66</v>
      </c>
      <c r="G57" s="12" t="s">
        <v>220</v>
      </c>
      <c r="H57" s="12" t="n">
        <v>2</v>
      </c>
      <c r="I57" s="12" t="n">
        <v>1</v>
      </c>
      <c r="J57" s="12" t="n">
        <f aca="false">IF(I57="","",I57*3600)</f>
        <v>3600</v>
      </c>
      <c r="K57" s="14" t="n">
        <v>46306</v>
      </c>
      <c r="L57" s="14" t="n">
        <v>46306</v>
      </c>
      <c r="M57" s="12" t="s">
        <v>221</v>
      </c>
      <c r="N57" s="12" t="s">
        <v>69</v>
      </c>
      <c r="O57" s="12" t="s">
        <v>23</v>
      </c>
    </row>
    <row r="58" customFormat="false" ht="26.85" hidden="false" customHeight="false" outlineLevel="0" collapsed="false">
      <c r="A58" s="12" t="s">
        <v>240</v>
      </c>
      <c r="B58" s="12" t="s">
        <v>71</v>
      </c>
      <c r="C58" s="13" t="s">
        <v>241</v>
      </c>
      <c r="D58" s="13" t="s">
        <v>242</v>
      </c>
      <c r="E58" s="12" t="s">
        <v>23</v>
      </c>
      <c r="F58" s="12" t="s">
        <v>74</v>
      </c>
      <c r="G58" s="12" t="s">
        <v>220</v>
      </c>
      <c r="H58" s="12" t="n">
        <v>1</v>
      </c>
      <c r="I58" s="12" t="n">
        <v>0.5</v>
      </c>
      <c r="J58" s="12" t="n">
        <f aca="false">IF(I58="","",I58*3600)</f>
        <v>1800</v>
      </c>
      <c r="K58" s="14" t="n">
        <v>46306</v>
      </c>
      <c r="L58" s="14" t="n">
        <v>46306</v>
      </c>
      <c r="M58" s="12" t="s">
        <v>221</v>
      </c>
      <c r="N58" s="12" t="s">
        <v>69</v>
      </c>
      <c r="O58" s="12" t="s">
        <v>23</v>
      </c>
    </row>
    <row r="59" customFormat="false" ht="26.85" hidden="false" customHeight="false" outlineLevel="0" collapsed="false">
      <c r="A59" s="9" t="s">
        <v>25</v>
      </c>
      <c r="B59" s="9" t="s">
        <v>2</v>
      </c>
      <c r="C59" s="10" t="s">
        <v>26</v>
      </c>
      <c r="D59" s="10" t="s">
        <v>243</v>
      </c>
      <c r="E59" s="9"/>
      <c r="F59" s="9" t="s">
        <v>66</v>
      </c>
      <c r="G59" s="9" t="s">
        <v>244</v>
      </c>
      <c r="H59" s="9"/>
      <c r="I59" s="9"/>
      <c r="J59" s="9" t="str">
        <f aca="false">IF(I59="","",I59*3600)</f>
        <v/>
      </c>
      <c r="K59" s="11" t="n">
        <v>46306</v>
      </c>
      <c r="L59" s="11" t="n">
        <v>46307</v>
      </c>
      <c r="M59" s="9" t="s">
        <v>245</v>
      </c>
      <c r="N59" s="9" t="s">
        <v>69</v>
      </c>
      <c r="O59" s="9" t="s">
        <v>25</v>
      </c>
    </row>
    <row r="60" customFormat="false" ht="26.85" hidden="false" customHeight="false" outlineLevel="0" collapsed="false">
      <c r="A60" s="12" t="s">
        <v>246</v>
      </c>
      <c r="B60" s="12" t="s">
        <v>71</v>
      </c>
      <c r="C60" s="13" t="s">
        <v>247</v>
      </c>
      <c r="D60" s="13" t="s">
        <v>248</v>
      </c>
      <c r="E60" s="12" t="s">
        <v>25</v>
      </c>
      <c r="F60" s="12" t="s">
        <v>66</v>
      </c>
      <c r="G60" s="12" t="s">
        <v>244</v>
      </c>
      <c r="H60" s="12" t="n">
        <v>2</v>
      </c>
      <c r="I60" s="12" t="n">
        <v>1</v>
      </c>
      <c r="J60" s="12" t="n">
        <f aca="false">IF(I60="","",I60*3600)</f>
        <v>3600</v>
      </c>
      <c r="K60" s="14" t="n">
        <v>46306</v>
      </c>
      <c r="L60" s="14" t="n">
        <v>46306</v>
      </c>
      <c r="M60" s="12" t="s">
        <v>245</v>
      </c>
      <c r="N60" s="12" t="s">
        <v>69</v>
      </c>
      <c r="O60" s="12" t="s">
        <v>25</v>
      </c>
    </row>
    <row r="61" customFormat="false" ht="26.85" hidden="false" customHeight="false" outlineLevel="0" collapsed="false">
      <c r="A61" s="12" t="s">
        <v>249</v>
      </c>
      <c r="B61" s="12" t="s">
        <v>71</v>
      </c>
      <c r="C61" s="13" t="s">
        <v>250</v>
      </c>
      <c r="D61" s="13" t="s">
        <v>251</v>
      </c>
      <c r="E61" s="12" t="s">
        <v>25</v>
      </c>
      <c r="F61" s="12" t="s">
        <v>66</v>
      </c>
      <c r="G61" s="12" t="s">
        <v>244</v>
      </c>
      <c r="H61" s="12" t="n">
        <v>1</v>
      </c>
      <c r="I61" s="12" t="n">
        <v>0.5</v>
      </c>
      <c r="J61" s="12" t="n">
        <f aca="false">IF(I61="","",I61*3600)</f>
        <v>1800</v>
      </c>
      <c r="K61" s="14" t="n">
        <v>46306</v>
      </c>
      <c r="L61" s="14" t="n">
        <v>46306</v>
      </c>
      <c r="M61" s="12" t="s">
        <v>245</v>
      </c>
      <c r="N61" s="12" t="s">
        <v>69</v>
      </c>
      <c r="O61" s="12" t="s">
        <v>25</v>
      </c>
    </row>
    <row r="62" customFormat="false" ht="26.85" hidden="false" customHeight="false" outlineLevel="0" collapsed="false">
      <c r="A62" s="12" t="s">
        <v>252</v>
      </c>
      <c r="B62" s="12" t="s">
        <v>71</v>
      </c>
      <c r="C62" s="13" t="s">
        <v>253</v>
      </c>
      <c r="D62" s="13" t="s">
        <v>254</v>
      </c>
      <c r="E62" s="12" t="s">
        <v>25</v>
      </c>
      <c r="F62" s="12" t="s">
        <v>66</v>
      </c>
      <c r="G62" s="12" t="s">
        <v>244</v>
      </c>
      <c r="H62" s="12" t="n">
        <v>5</v>
      </c>
      <c r="I62" s="12" t="n">
        <v>2.5</v>
      </c>
      <c r="J62" s="12" t="n">
        <f aca="false">IF(I62="","",I62*3600)</f>
        <v>9000</v>
      </c>
      <c r="K62" s="14" t="n">
        <v>46306</v>
      </c>
      <c r="L62" s="14" t="n">
        <v>46306</v>
      </c>
      <c r="M62" s="12" t="s">
        <v>245</v>
      </c>
      <c r="N62" s="12" t="s">
        <v>69</v>
      </c>
      <c r="O62" s="12" t="s">
        <v>25</v>
      </c>
    </row>
    <row r="63" customFormat="false" ht="26.85" hidden="false" customHeight="false" outlineLevel="0" collapsed="false">
      <c r="A63" s="12" t="s">
        <v>255</v>
      </c>
      <c r="B63" s="12" t="s">
        <v>71</v>
      </c>
      <c r="C63" s="13" t="s">
        <v>256</v>
      </c>
      <c r="D63" s="13" t="s">
        <v>257</v>
      </c>
      <c r="E63" s="12" t="s">
        <v>25</v>
      </c>
      <c r="F63" s="12" t="s">
        <v>66</v>
      </c>
      <c r="G63" s="12" t="s">
        <v>244</v>
      </c>
      <c r="H63" s="12" t="n">
        <v>2</v>
      </c>
      <c r="I63" s="12" t="n">
        <v>1</v>
      </c>
      <c r="J63" s="12" t="n">
        <f aca="false">IF(I63="","",I63*3600)</f>
        <v>3600</v>
      </c>
      <c r="K63" s="14" t="n">
        <v>46306</v>
      </c>
      <c r="L63" s="14" t="n">
        <v>46306</v>
      </c>
      <c r="M63" s="12" t="s">
        <v>245</v>
      </c>
      <c r="N63" s="12" t="s">
        <v>69</v>
      </c>
      <c r="O63" s="12" t="s">
        <v>25</v>
      </c>
    </row>
    <row r="64" customFormat="false" ht="26.85" hidden="false" customHeight="false" outlineLevel="0" collapsed="false">
      <c r="A64" s="12" t="s">
        <v>258</v>
      </c>
      <c r="B64" s="12" t="s">
        <v>71</v>
      </c>
      <c r="C64" s="13" t="s">
        <v>259</v>
      </c>
      <c r="D64" s="13" t="s">
        <v>260</v>
      </c>
      <c r="E64" s="12" t="s">
        <v>25</v>
      </c>
      <c r="F64" s="12" t="s">
        <v>66</v>
      </c>
      <c r="G64" s="12" t="s">
        <v>244</v>
      </c>
      <c r="H64" s="12" t="n">
        <v>5</v>
      </c>
      <c r="I64" s="12" t="n">
        <v>2</v>
      </c>
      <c r="J64" s="12" t="n">
        <f aca="false">IF(I64="","",I64*3600)</f>
        <v>7200</v>
      </c>
      <c r="K64" s="14" t="n">
        <v>46306</v>
      </c>
      <c r="L64" s="14" t="n">
        <v>46306</v>
      </c>
      <c r="M64" s="12" t="s">
        <v>245</v>
      </c>
      <c r="N64" s="12" t="s">
        <v>69</v>
      </c>
      <c r="O64" s="12" t="s">
        <v>25</v>
      </c>
    </row>
    <row r="65" customFormat="false" ht="26.85" hidden="false" customHeight="false" outlineLevel="0" collapsed="false">
      <c r="A65" s="12" t="s">
        <v>261</v>
      </c>
      <c r="B65" s="12" t="s">
        <v>71</v>
      </c>
      <c r="C65" s="13" t="s">
        <v>262</v>
      </c>
      <c r="D65" s="13" t="s">
        <v>263</v>
      </c>
      <c r="E65" s="12" t="s">
        <v>25</v>
      </c>
      <c r="F65" s="12" t="s">
        <v>66</v>
      </c>
      <c r="G65" s="12" t="s">
        <v>244</v>
      </c>
      <c r="H65" s="12" t="n">
        <v>2</v>
      </c>
      <c r="I65" s="12" t="n">
        <v>1</v>
      </c>
      <c r="J65" s="12" t="n">
        <f aca="false">IF(I65="","",I65*3600)</f>
        <v>3600</v>
      </c>
      <c r="K65" s="14" t="n">
        <v>46306</v>
      </c>
      <c r="L65" s="14" t="n">
        <v>46306</v>
      </c>
      <c r="M65" s="12" t="s">
        <v>245</v>
      </c>
      <c r="N65" s="12" t="s">
        <v>69</v>
      </c>
      <c r="O65" s="12" t="s">
        <v>25</v>
      </c>
    </row>
    <row r="66" customFormat="false" ht="26.85" hidden="false" customHeight="false" outlineLevel="0" collapsed="false">
      <c r="A66" s="12" t="s">
        <v>264</v>
      </c>
      <c r="B66" s="12" t="s">
        <v>71</v>
      </c>
      <c r="C66" s="13" t="s">
        <v>265</v>
      </c>
      <c r="D66" s="13" t="s">
        <v>266</v>
      </c>
      <c r="E66" s="12" t="s">
        <v>25</v>
      </c>
      <c r="F66" s="12" t="s">
        <v>66</v>
      </c>
      <c r="G66" s="12" t="s">
        <v>244</v>
      </c>
      <c r="H66" s="12" t="n">
        <v>3</v>
      </c>
      <c r="I66" s="12" t="n">
        <v>1.5</v>
      </c>
      <c r="J66" s="12" t="n">
        <f aca="false">IF(I66="","",I66*3600)</f>
        <v>5400</v>
      </c>
      <c r="K66" s="14" t="n">
        <v>46307</v>
      </c>
      <c r="L66" s="14" t="n">
        <v>46307</v>
      </c>
      <c r="M66" s="12" t="s">
        <v>245</v>
      </c>
      <c r="N66" s="12" t="s">
        <v>69</v>
      </c>
      <c r="O66" s="12" t="s">
        <v>25</v>
      </c>
    </row>
    <row r="67" customFormat="false" ht="26.85" hidden="false" customHeight="false" outlineLevel="0" collapsed="false">
      <c r="A67" s="12" t="s">
        <v>267</v>
      </c>
      <c r="B67" s="12" t="s">
        <v>71</v>
      </c>
      <c r="C67" s="13" t="s">
        <v>268</v>
      </c>
      <c r="D67" s="13" t="s">
        <v>269</v>
      </c>
      <c r="E67" s="12" t="s">
        <v>25</v>
      </c>
      <c r="F67" s="12" t="s">
        <v>74</v>
      </c>
      <c r="G67" s="12" t="s">
        <v>244</v>
      </c>
      <c r="H67" s="12" t="n">
        <v>1</v>
      </c>
      <c r="I67" s="12" t="n">
        <v>0.5</v>
      </c>
      <c r="J67" s="12" t="n">
        <f aca="false">IF(I67="","",I67*3600)</f>
        <v>1800</v>
      </c>
      <c r="K67" s="14" t="n">
        <v>46307</v>
      </c>
      <c r="L67" s="14" t="n">
        <v>46307</v>
      </c>
      <c r="M67" s="12" t="s">
        <v>245</v>
      </c>
      <c r="N67" s="12" t="s">
        <v>69</v>
      </c>
      <c r="O67" s="12" t="s">
        <v>25</v>
      </c>
    </row>
    <row r="68" customFormat="false" ht="26.85" hidden="false" customHeight="false" outlineLevel="0" collapsed="false">
      <c r="A68" s="12" t="s">
        <v>270</v>
      </c>
      <c r="B68" s="12" t="s">
        <v>71</v>
      </c>
      <c r="C68" s="13" t="s">
        <v>271</v>
      </c>
      <c r="D68" s="13" t="s">
        <v>272</v>
      </c>
      <c r="E68" s="12" t="s">
        <v>25</v>
      </c>
      <c r="F68" s="12" t="s">
        <v>74</v>
      </c>
      <c r="G68" s="12" t="s">
        <v>244</v>
      </c>
      <c r="H68" s="12" t="n">
        <v>1</v>
      </c>
      <c r="I68" s="12" t="n">
        <v>0.5</v>
      </c>
      <c r="J68" s="12" t="n">
        <f aca="false">IF(I68="","",I68*3600)</f>
        <v>1800</v>
      </c>
      <c r="K68" s="14" t="n">
        <v>46307</v>
      </c>
      <c r="L68" s="14" t="n">
        <v>46307</v>
      </c>
      <c r="M68" s="12" t="s">
        <v>245</v>
      </c>
      <c r="N68" s="12" t="s">
        <v>69</v>
      </c>
      <c r="O68" s="12" t="s">
        <v>25</v>
      </c>
    </row>
    <row r="69" customFormat="false" ht="15" hidden="false" customHeight="false" outlineLevel="0" collapsed="false">
      <c r="A69" s="9" t="s">
        <v>27</v>
      </c>
      <c r="B69" s="9" t="s">
        <v>2</v>
      </c>
      <c r="C69" s="10" t="s">
        <v>28</v>
      </c>
      <c r="D69" s="10" t="s">
        <v>273</v>
      </c>
      <c r="E69" s="9"/>
      <c r="F69" s="9" t="s">
        <v>66</v>
      </c>
      <c r="G69" s="9" t="s">
        <v>274</v>
      </c>
      <c r="H69" s="9"/>
      <c r="I69" s="9"/>
      <c r="J69" s="9" t="str">
        <f aca="false">IF(I69="","",I69*3600)</f>
        <v/>
      </c>
      <c r="K69" s="11" t="n">
        <v>46306</v>
      </c>
      <c r="L69" s="11" t="n">
        <v>46307</v>
      </c>
      <c r="M69" s="9" t="s">
        <v>275</v>
      </c>
      <c r="N69" s="9" t="s">
        <v>69</v>
      </c>
      <c r="O69" s="9" t="s">
        <v>27</v>
      </c>
    </row>
    <row r="70" customFormat="false" ht="39.55" hidden="false" customHeight="false" outlineLevel="0" collapsed="false">
      <c r="A70" s="12" t="s">
        <v>276</v>
      </c>
      <c r="B70" s="12" t="s">
        <v>71</v>
      </c>
      <c r="C70" s="13" t="s">
        <v>277</v>
      </c>
      <c r="D70" s="13" t="s">
        <v>278</v>
      </c>
      <c r="E70" s="12" t="s">
        <v>27</v>
      </c>
      <c r="F70" s="12" t="s">
        <v>66</v>
      </c>
      <c r="G70" s="12" t="s">
        <v>274</v>
      </c>
      <c r="H70" s="12" t="n">
        <v>2</v>
      </c>
      <c r="I70" s="12" t="n">
        <v>0.5</v>
      </c>
      <c r="J70" s="12" t="n">
        <f aca="false">IF(I70="","",I70*3600)</f>
        <v>1800</v>
      </c>
      <c r="K70" s="14" t="n">
        <v>46306</v>
      </c>
      <c r="L70" s="14" t="n">
        <v>46306</v>
      </c>
      <c r="M70" s="12" t="s">
        <v>275</v>
      </c>
      <c r="N70" s="12" t="s">
        <v>69</v>
      </c>
      <c r="O70" s="12" t="s">
        <v>27</v>
      </c>
    </row>
    <row r="71" customFormat="false" ht="26.85" hidden="false" customHeight="false" outlineLevel="0" collapsed="false">
      <c r="A71" s="12" t="s">
        <v>279</v>
      </c>
      <c r="B71" s="12" t="s">
        <v>71</v>
      </c>
      <c r="C71" s="13" t="s">
        <v>280</v>
      </c>
      <c r="D71" s="13" t="s">
        <v>281</v>
      </c>
      <c r="E71" s="12" t="s">
        <v>27</v>
      </c>
      <c r="F71" s="12" t="s">
        <v>66</v>
      </c>
      <c r="G71" s="12" t="s">
        <v>274</v>
      </c>
      <c r="H71" s="12" t="n">
        <v>1</v>
      </c>
      <c r="I71" s="12" t="n">
        <v>0.5</v>
      </c>
      <c r="J71" s="12" t="n">
        <f aca="false">IF(I71="","",I71*3600)</f>
        <v>1800</v>
      </c>
      <c r="K71" s="14" t="n">
        <v>46306</v>
      </c>
      <c r="L71" s="14" t="n">
        <v>46306</v>
      </c>
      <c r="M71" s="12" t="s">
        <v>275</v>
      </c>
      <c r="N71" s="12" t="s">
        <v>69</v>
      </c>
      <c r="O71" s="12" t="s">
        <v>27</v>
      </c>
    </row>
    <row r="72" customFormat="false" ht="39.55" hidden="false" customHeight="false" outlineLevel="0" collapsed="false">
      <c r="A72" s="12" t="s">
        <v>282</v>
      </c>
      <c r="B72" s="12" t="s">
        <v>71</v>
      </c>
      <c r="C72" s="13" t="s">
        <v>283</v>
      </c>
      <c r="D72" s="13" t="s">
        <v>284</v>
      </c>
      <c r="E72" s="12" t="s">
        <v>27</v>
      </c>
      <c r="F72" s="12" t="s">
        <v>74</v>
      </c>
      <c r="G72" s="12" t="s">
        <v>274</v>
      </c>
      <c r="H72" s="12" t="n">
        <v>2</v>
      </c>
      <c r="I72" s="12" t="n">
        <v>1</v>
      </c>
      <c r="J72" s="12" t="n">
        <f aca="false">IF(I72="","",I72*3600)</f>
        <v>3600</v>
      </c>
      <c r="K72" s="14" t="n">
        <v>46307</v>
      </c>
      <c r="L72" s="14" t="n">
        <v>46307</v>
      </c>
      <c r="M72" s="12" t="s">
        <v>275</v>
      </c>
      <c r="N72" s="12" t="s">
        <v>69</v>
      </c>
      <c r="O72" s="12" t="s">
        <v>27</v>
      </c>
    </row>
    <row r="73" customFormat="false" ht="26.85" hidden="false" customHeight="false" outlineLevel="0" collapsed="false">
      <c r="A73" s="12" t="s">
        <v>285</v>
      </c>
      <c r="B73" s="12" t="s">
        <v>71</v>
      </c>
      <c r="C73" s="13" t="s">
        <v>286</v>
      </c>
      <c r="D73" s="13" t="s">
        <v>287</v>
      </c>
      <c r="E73" s="12" t="s">
        <v>27</v>
      </c>
      <c r="F73" s="12" t="s">
        <v>66</v>
      </c>
      <c r="G73" s="12" t="s">
        <v>274</v>
      </c>
      <c r="H73" s="12" t="n">
        <v>2</v>
      </c>
      <c r="I73" s="12" t="n">
        <v>1</v>
      </c>
      <c r="J73" s="12" t="n">
        <f aca="false">IF(I73="","",I73*3600)</f>
        <v>3600</v>
      </c>
      <c r="K73" s="14" t="n">
        <v>46307</v>
      </c>
      <c r="L73" s="14" t="n">
        <v>46307</v>
      </c>
      <c r="M73" s="12" t="s">
        <v>275</v>
      </c>
      <c r="N73" s="12" t="s">
        <v>69</v>
      </c>
      <c r="O73" s="12" t="s">
        <v>27</v>
      </c>
    </row>
    <row r="74" customFormat="false" ht="26.85" hidden="false" customHeight="false" outlineLevel="0" collapsed="false">
      <c r="A74" s="12" t="s">
        <v>288</v>
      </c>
      <c r="B74" s="12" t="s">
        <v>71</v>
      </c>
      <c r="C74" s="13" t="s">
        <v>289</v>
      </c>
      <c r="D74" s="13" t="s">
        <v>290</v>
      </c>
      <c r="E74" s="12" t="s">
        <v>27</v>
      </c>
      <c r="F74" s="12" t="s">
        <v>66</v>
      </c>
      <c r="G74" s="12" t="s">
        <v>274</v>
      </c>
      <c r="H74" s="12" t="n">
        <v>1</v>
      </c>
      <c r="I74" s="12" t="n">
        <v>0.5</v>
      </c>
      <c r="J74" s="12" t="n">
        <f aca="false">IF(I74="","",I74*3600)</f>
        <v>1800</v>
      </c>
      <c r="K74" s="14" t="n">
        <v>46307</v>
      </c>
      <c r="L74" s="14" t="n">
        <v>46307</v>
      </c>
      <c r="M74" s="12" t="s">
        <v>275</v>
      </c>
      <c r="N74" s="12" t="s">
        <v>69</v>
      </c>
      <c r="O74" s="12" t="s">
        <v>27</v>
      </c>
    </row>
    <row r="75" customFormat="false" ht="26.85" hidden="false" customHeight="false" outlineLevel="0" collapsed="false">
      <c r="A75" s="9" t="s">
        <v>29</v>
      </c>
      <c r="B75" s="9" t="s">
        <v>2</v>
      </c>
      <c r="C75" s="10" t="s">
        <v>30</v>
      </c>
      <c r="D75" s="10" t="s">
        <v>291</v>
      </c>
      <c r="E75" s="9"/>
      <c r="F75" s="9" t="s">
        <v>129</v>
      </c>
      <c r="G75" s="9" t="s">
        <v>292</v>
      </c>
      <c r="H75" s="9"/>
      <c r="I75" s="9"/>
      <c r="J75" s="9" t="str">
        <f aca="false">IF(I75="","",I75*3600)</f>
        <v/>
      </c>
      <c r="K75" s="11"/>
      <c r="L75" s="11"/>
      <c r="M75" s="9" t="s">
        <v>293</v>
      </c>
      <c r="N75" s="9" t="s">
        <v>69</v>
      </c>
      <c r="O75" s="9" t="s">
        <v>29</v>
      </c>
    </row>
    <row r="76" customFormat="false" ht="26.85" hidden="false" customHeight="false" outlineLevel="0" collapsed="false">
      <c r="A76" s="12" t="s">
        <v>294</v>
      </c>
      <c r="B76" s="12" t="s">
        <v>71</v>
      </c>
      <c r="C76" s="13" t="s">
        <v>295</v>
      </c>
      <c r="D76" s="13" t="s">
        <v>296</v>
      </c>
      <c r="E76" s="12" t="s">
        <v>29</v>
      </c>
      <c r="F76" s="12" t="s">
        <v>129</v>
      </c>
      <c r="G76" s="12" t="s">
        <v>292</v>
      </c>
      <c r="H76" s="12" t="n">
        <v>2</v>
      </c>
      <c r="I76" s="12" t="n">
        <v>1</v>
      </c>
      <c r="J76" s="12" t="n">
        <f aca="false">IF(I76="","",I76*3600)</f>
        <v>3600</v>
      </c>
      <c r="K76" s="14"/>
      <c r="L76" s="14"/>
      <c r="M76" s="12" t="s">
        <v>293</v>
      </c>
      <c r="N76" s="12" t="s">
        <v>69</v>
      </c>
      <c r="O76" s="12" t="s">
        <v>29</v>
      </c>
    </row>
    <row r="77" customFormat="false" ht="26.85" hidden="false" customHeight="false" outlineLevel="0" collapsed="false">
      <c r="A77" s="12" t="s">
        <v>297</v>
      </c>
      <c r="B77" s="12" t="s">
        <v>71</v>
      </c>
      <c r="C77" s="13" t="s">
        <v>298</v>
      </c>
      <c r="D77" s="13" t="s">
        <v>299</v>
      </c>
      <c r="E77" s="12" t="s">
        <v>29</v>
      </c>
      <c r="F77" s="12" t="s">
        <v>129</v>
      </c>
      <c r="G77" s="12" t="s">
        <v>292</v>
      </c>
      <c r="H77" s="12" t="n">
        <v>2</v>
      </c>
      <c r="I77" s="12" t="n">
        <v>1</v>
      </c>
      <c r="J77" s="12" t="n">
        <f aca="false">IF(I77="","",I77*3600)</f>
        <v>3600</v>
      </c>
      <c r="K77" s="14"/>
      <c r="L77" s="14"/>
      <c r="M77" s="12" t="s">
        <v>293</v>
      </c>
      <c r="N77" s="12" t="s">
        <v>69</v>
      </c>
      <c r="O77" s="12" t="s">
        <v>29</v>
      </c>
    </row>
    <row r="78" customFormat="false" ht="26.85" hidden="false" customHeight="false" outlineLevel="0" collapsed="false">
      <c r="A78" s="12" t="s">
        <v>300</v>
      </c>
      <c r="B78" s="12" t="s">
        <v>71</v>
      </c>
      <c r="C78" s="13" t="s">
        <v>301</v>
      </c>
      <c r="D78" s="13" t="s">
        <v>302</v>
      </c>
      <c r="E78" s="12" t="s">
        <v>29</v>
      </c>
      <c r="F78" s="12" t="s">
        <v>129</v>
      </c>
      <c r="G78" s="12" t="s">
        <v>292</v>
      </c>
      <c r="H78" s="12" t="n">
        <v>3</v>
      </c>
      <c r="I78" s="12" t="n">
        <v>1.5</v>
      </c>
      <c r="J78" s="12" t="n">
        <f aca="false">IF(I78="","",I78*3600)</f>
        <v>5400</v>
      </c>
      <c r="K78" s="14"/>
      <c r="L78" s="14"/>
      <c r="M78" s="12" t="s">
        <v>293</v>
      </c>
      <c r="N78" s="12" t="s">
        <v>69</v>
      </c>
      <c r="O78" s="12" t="s">
        <v>29</v>
      </c>
    </row>
    <row r="79" customFormat="false" ht="39.55" hidden="false" customHeight="false" outlineLevel="0" collapsed="false">
      <c r="A79" s="12" t="s">
        <v>303</v>
      </c>
      <c r="B79" s="12" t="s">
        <v>71</v>
      </c>
      <c r="C79" s="13" t="s">
        <v>304</v>
      </c>
      <c r="D79" s="13" t="s">
        <v>305</v>
      </c>
      <c r="E79" s="12" t="s">
        <v>29</v>
      </c>
      <c r="F79" s="12" t="s">
        <v>129</v>
      </c>
      <c r="G79" s="12" t="s">
        <v>292</v>
      </c>
      <c r="H79" s="12" t="n">
        <v>3</v>
      </c>
      <c r="I79" s="12" t="n">
        <v>1.5</v>
      </c>
      <c r="J79" s="12" t="n">
        <f aca="false">IF(I79="","",I79*3600)</f>
        <v>5400</v>
      </c>
      <c r="K79" s="14"/>
      <c r="L79" s="14"/>
      <c r="M79" s="12" t="s">
        <v>293</v>
      </c>
      <c r="N79" s="12" t="s">
        <v>69</v>
      </c>
      <c r="O79" s="12" t="s">
        <v>29</v>
      </c>
    </row>
    <row r="80" customFormat="false" ht="26.85" hidden="false" customHeight="false" outlineLevel="0" collapsed="false">
      <c r="A80" s="12" t="s">
        <v>306</v>
      </c>
      <c r="B80" s="12" t="s">
        <v>71</v>
      </c>
      <c r="C80" s="13" t="s">
        <v>307</v>
      </c>
      <c r="D80" s="13" t="s">
        <v>308</v>
      </c>
      <c r="E80" s="12" t="s">
        <v>29</v>
      </c>
      <c r="F80" s="12" t="s">
        <v>129</v>
      </c>
      <c r="G80" s="12" t="s">
        <v>292</v>
      </c>
      <c r="H80" s="12" t="n">
        <v>1</v>
      </c>
      <c r="I80" s="12" t="n">
        <v>0.5</v>
      </c>
      <c r="J80" s="12" t="n">
        <f aca="false">IF(I80="","",I80*3600)</f>
        <v>1800</v>
      </c>
      <c r="K80" s="14"/>
      <c r="L80" s="14"/>
      <c r="M80" s="12" t="s">
        <v>293</v>
      </c>
      <c r="N80" s="12" t="s">
        <v>69</v>
      </c>
      <c r="O80" s="12" t="s">
        <v>29</v>
      </c>
    </row>
    <row r="81" customFormat="false" ht="26.85" hidden="false" customHeight="false" outlineLevel="0" collapsed="false">
      <c r="A81" s="9" t="s">
        <v>31</v>
      </c>
      <c r="B81" s="9" t="s">
        <v>2</v>
      </c>
      <c r="C81" s="10" t="s">
        <v>32</v>
      </c>
      <c r="D81" s="10" t="s">
        <v>309</v>
      </c>
      <c r="E81" s="9"/>
      <c r="F81" s="9" t="s">
        <v>66</v>
      </c>
      <c r="G81" s="9" t="s">
        <v>310</v>
      </c>
      <c r="H81" s="9"/>
      <c r="I81" s="9"/>
      <c r="J81" s="9" t="str">
        <f aca="false">IF(I81="","",I81*3600)</f>
        <v/>
      </c>
      <c r="K81" s="11" t="n">
        <v>46307</v>
      </c>
      <c r="L81" s="11" t="n">
        <v>46307</v>
      </c>
      <c r="M81" s="9" t="s">
        <v>32</v>
      </c>
      <c r="N81" s="9" t="s">
        <v>69</v>
      </c>
      <c r="O81" s="9" t="s">
        <v>31</v>
      </c>
    </row>
    <row r="82" customFormat="false" ht="26.85" hidden="false" customHeight="false" outlineLevel="0" collapsed="false">
      <c r="A82" s="12" t="s">
        <v>311</v>
      </c>
      <c r="B82" s="12" t="s">
        <v>71</v>
      </c>
      <c r="C82" s="13" t="s">
        <v>312</v>
      </c>
      <c r="D82" s="13" t="s">
        <v>313</v>
      </c>
      <c r="E82" s="12" t="s">
        <v>31</v>
      </c>
      <c r="F82" s="12" t="s">
        <v>66</v>
      </c>
      <c r="G82" s="12" t="s">
        <v>310</v>
      </c>
      <c r="H82" s="12" t="n">
        <v>2</v>
      </c>
      <c r="I82" s="12" t="n">
        <v>1.5</v>
      </c>
      <c r="J82" s="12" t="n">
        <f aca="false">IF(I82="","",I82*3600)</f>
        <v>5400</v>
      </c>
      <c r="K82" s="14" t="n">
        <v>46307</v>
      </c>
      <c r="L82" s="14" t="n">
        <v>46307</v>
      </c>
      <c r="M82" s="12" t="s">
        <v>32</v>
      </c>
      <c r="N82" s="12" t="s">
        <v>69</v>
      </c>
      <c r="O82" s="12" t="s">
        <v>31</v>
      </c>
    </row>
    <row r="83" customFormat="false" ht="15" hidden="false" customHeight="false" outlineLevel="0" collapsed="false">
      <c r="A83" s="12" t="s">
        <v>314</v>
      </c>
      <c r="B83" s="12" t="s">
        <v>71</v>
      </c>
      <c r="C83" s="13" t="s">
        <v>315</v>
      </c>
      <c r="D83" s="13" t="s">
        <v>316</v>
      </c>
      <c r="E83" s="12" t="s">
        <v>31</v>
      </c>
      <c r="F83" s="12" t="s">
        <v>74</v>
      </c>
      <c r="G83" s="12" t="s">
        <v>310</v>
      </c>
      <c r="H83" s="12" t="n">
        <v>1</v>
      </c>
      <c r="I83" s="12" t="n">
        <v>0.5</v>
      </c>
      <c r="J83" s="12" t="n">
        <f aca="false">IF(I83="","",I83*3600)</f>
        <v>1800</v>
      </c>
      <c r="K83" s="14" t="n">
        <v>46307</v>
      </c>
      <c r="L83" s="14" t="n">
        <v>46307</v>
      </c>
      <c r="M83" s="12" t="s">
        <v>32</v>
      </c>
      <c r="N83" s="12" t="s">
        <v>69</v>
      </c>
      <c r="O83" s="12" t="s">
        <v>31</v>
      </c>
    </row>
    <row r="84" customFormat="false" ht="39.55" hidden="false" customHeight="false" outlineLevel="0" collapsed="false">
      <c r="A84" s="12" t="s">
        <v>317</v>
      </c>
      <c r="B84" s="12" t="s">
        <v>71</v>
      </c>
      <c r="C84" s="13" t="s">
        <v>318</v>
      </c>
      <c r="D84" s="13" t="s">
        <v>319</v>
      </c>
      <c r="E84" s="12" t="s">
        <v>31</v>
      </c>
      <c r="F84" s="12" t="s">
        <v>66</v>
      </c>
      <c r="G84" s="12" t="s">
        <v>310</v>
      </c>
      <c r="H84" s="12" t="n">
        <v>3</v>
      </c>
      <c r="I84" s="12" t="n">
        <v>2</v>
      </c>
      <c r="J84" s="12" t="n">
        <f aca="false">IF(I84="","",I84*3600)</f>
        <v>7200</v>
      </c>
      <c r="K84" s="14" t="n">
        <v>46307</v>
      </c>
      <c r="L84" s="14" t="n">
        <v>46307</v>
      </c>
      <c r="M84" s="12" t="s">
        <v>32</v>
      </c>
      <c r="N84" s="12" t="s">
        <v>69</v>
      </c>
      <c r="O84" s="12" t="s">
        <v>31</v>
      </c>
    </row>
    <row r="85" customFormat="false" ht="26.85" hidden="false" customHeight="false" outlineLevel="0" collapsed="false">
      <c r="A85" s="12" t="s">
        <v>320</v>
      </c>
      <c r="B85" s="12" t="s">
        <v>71</v>
      </c>
      <c r="C85" s="13" t="s">
        <v>321</v>
      </c>
      <c r="D85" s="13" t="s">
        <v>322</v>
      </c>
      <c r="E85" s="12" t="s">
        <v>31</v>
      </c>
      <c r="F85" s="12" t="s">
        <v>66</v>
      </c>
      <c r="G85" s="12" t="s">
        <v>310</v>
      </c>
      <c r="H85" s="12" t="n">
        <v>1</v>
      </c>
      <c r="I85" s="12" t="n">
        <v>1</v>
      </c>
      <c r="J85" s="12" t="n">
        <f aca="false">IF(I85="","",I85*3600)</f>
        <v>3600</v>
      </c>
      <c r="K85" s="14" t="n">
        <v>46307</v>
      </c>
      <c r="L85" s="14" t="n">
        <v>46307</v>
      </c>
      <c r="M85" s="12" t="s">
        <v>32</v>
      </c>
      <c r="N85" s="12" t="s">
        <v>69</v>
      </c>
      <c r="O85" s="12" t="s">
        <v>31</v>
      </c>
    </row>
    <row r="86" customFormat="false" ht="26.85" hidden="false" customHeight="false" outlineLevel="0" collapsed="false">
      <c r="A86" s="12" t="s">
        <v>323</v>
      </c>
      <c r="B86" s="12" t="s">
        <v>71</v>
      </c>
      <c r="C86" s="13" t="s">
        <v>324</v>
      </c>
      <c r="D86" s="13" t="s">
        <v>325</v>
      </c>
      <c r="E86" s="12" t="s">
        <v>31</v>
      </c>
      <c r="F86" s="12" t="s">
        <v>66</v>
      </c>
      <c r="G86" s="12" t="s">
        <v>310</v>
      </c>
      <c r="H86" s="12" t="n">
        <v>2</v>
      </c>
      <c r="I86" s="12" t="n">
        <v>1</v>
      </c>
      <c r="J86" s="12" t="n">
        <f aca="false">IF(I86="","",I86*3600)</f>
        <v>3600</v>
      </c>
      <c r="K86" s="14" t="n">
        <v>46307</v>
      </c>
      <c r="L86" s="14" t="n">
        <v>46307</v>
      </c>
      <c r="M86" s="12" t="s">
        <v>32</v>
      </c>
      <c r="N86" s="12" t="s">
        <v>69</v>
      </c>
      <c r="O86" s="12" t="s">
        <v>31</v>
      </c>
    </row>
    <row r="87" customFormat="false" ht="26.85" hidden="false" customHeight="false" outlineLevel="0" collapsed="false">
      <c r="A87" s="12" t="s">
        <v>326</v>
      </c>
      <c r="B87" s="12" t="s">
        <v>71</v>
      </c>
      <c r="C87" s="13" t="s">
        <v>327</v>
      </c>
      <c r="D87" s="13" t="s">
        <v>328</v>
      </c>
      <c r="E87" s="12" t="s">
        <v>31</v>
      </c>
      <c r="F87" s="12" t="s">
        <v>66</v>
      </c>
      <c r="G87" s="12" t="s">
        <v>310</v>
      </c>
      <c r="H87" s="12" t="n">
        <v>1</v>
      </c>
      <c r="I87" s="12" t="n">
        <v>1</v>
      </c>
      <c r="J87" s="12" t="n">
        <f aca="false">IF(I87="","",I87*3600)</f>
        <v>3600</v>
      </c>
      <c r="K87" s="14" t="n">
        <v>46307</v>
      </c>
      <c r="L87" s="14" t="n">
        <v>46307</v>
      </c>
      <c r="M87" s="12" t="s">
        <v>32</v>
      </c>
      <c r="N87" s="12" t="s">
        <v>69</v>
      </c>
      <c r="O87" s="12" t="s">
        <v>31</v>
      </c>
    </row>
    <row r="88" customFormat="false" ht="15" hidden="false" customHeight="false" outlineLevel="0" collapsed="false">
      <c r="A88" s="9" t="s">
        <v>33</v>
      </c>
      <c r="B88" s="9" t="s">
        <v>2</v>
      </c>
      <c r="C88" s="10" t="s">
        <v>34</v>
      </c>
      <c r="D88" s="10" t="s">
        <v>329</v>
      </c>
      <c r="E88" s="9"/>
      <c r="F88" s="9" t="s">
        <v>129</v>
      </c>
      <c r="G88" s="9" t="s">
        <v>330</v>
      </c>
      <c r="H88" s="9"/>
      <c r="I88" s="9"/>
      <c r="J88" s="9" t="str">
        <f aca="false">IF(I88="","",I88*3600)</f>
        <v/>
      </c>
      <c r="K88" s="11"/>
      <c r="L88" s="11"/>
      <c r="M88" s="9" t="s">
        <v>331</v>
      </c>
      <c r="N88" s="9" t="s">
        <v>69</v>
      </c>
      <c r="O88" s="9" t="s">
        <v>33</v>
      </c>
    </row>
    <row r="89" customFormat="false" ht="26.85" hidden="false" customHeight="false" outlineLevel="0" collapsed="false">
      <c r="A89" s="12" t="s">
        <v>332</v>
      </c>
      <c r="B89" s="12" t="s">
        <v>71</v>
      </c>
      <c r="C89" s="13" t="s">
        <v>333</v>
      </c>
      <c r="D89" s="13" t="s">
        <v>334</v>
      </c>
      <c r="E89" s="12" t="s">
        <v>33</v>
      </c>
      <c r="F89" s="12" t="s">
        <v>129</v>
      </c>
      <c r="G89" s="12" t="s">
        <v>330</v>
      </c>
      <c r="H89" s="12" t="n">
        <v>5</v>
      </c>
      <c r="I89" s="12" t="n">
        <v>3</v>
      </c>
      <c r="J89" s="12" t="n">
        <f aca="false">IF(I89="","",I89*3600)</f>
        <v>10800</v>
      </c>
      <c r="K89" s="14"/>
      <c r="L89" s="14"/>
      <c r="M89" s="12" t="s">
        <v>331</v>
      </c>
      <c r="N89" s="12" t="s">
        <v>69</v>
      </c>
      <c r="O89" s="12" t="s">
        <v>33</v>
      </c>
    </row>
    <row r="90" customFormat="false" ht="26.85" hidden="false" customHeight="false" outlineLevel="0" collapsed="false">
      <c r="A90" s="12" t="s">
        <v>335</v>
      </c>
      <c r="B90" s="12" t="s">
        <v>71</v>
      </c>
      <c r="C90" s="13" t="s">
        <v>336</v>
      </c>
      <c r="D90" s="13" t="s">
        <v>337</v>
      </c>
      <c r="E90" s="12" t="s">
        <v>33</v>
      </c>
      <c r="F90" s="12" t="s">
        <v>129</v>
      </c>
      <c r="G90" s="12" t="s">
        <v>330</v>
      </c>
      <c r="H90" s="12" t="n">
        <v>8</v>
      </c>
      <c r="I90" s="12" t="n">
        <v>4</v>
      </c>
      <c r="J90" s="12" t="n">
        <f aca="false">IF(I90="","",I90*3600)</f>
        <v>14400</v>
      </c>
      <c r="K90" s="14"/>
      <c r="L90" s="14"/>
      <c r="M90" s="12" t="s">
        <v>331</v>
      </c>
      <c r="N90" s="12" t="s">
        <v>69</v>
      </c>
      <c r="O90" s="12" t="s">
        <v>33</v>
      </c>
    </row>
  </sheetData>
  <autoFilter ref="A1:O90"/>
  <dataValidations count="2">
    <dataValidation allowBlank="true" errorStyle="stop" operator="between" showDropDown="false" showErrorMessage="false" showInputMessage="false" sqref="N2:N90" type="list">
      <formula1>"To Do,In Progress,Done"</formula1>
      <formula2>0</formula2>
    </dataValidation>
    <dataValidation allowBlank="true" errorStyle="stop" operator="between" showDropDown="false" showErrorMessage="false" showInputMessage="false" sqref="F2:F90" type="list">
      <formula1>"Highest,High,Medium,Low"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338</v>
      </c>
    </row>
    <row r="2" customFormat="false" ht="15" hidden="false" customHeight="false" outlineLevel="0" collapsed="false">
      <c r="A2" s="18" t="s">
        <v>339</v>
      </c>
    </row>
    <row r="3" customFormat="false" ht="15" hidden="false" customHeight="false" outlineLevel="0" collapsed="false">
      <c r="A3" s="18" t="s">
        <v>340</v>
      </c>
    </row>
    <row r="4" customFormat="false" ht="15" hidden="false" customHeight="false" outlineLevel="0" collapsed="false">
      <c r="A4" s="18" t="s">
        <v>341</v>
      </c>
    </row>
    <row r="5" customFormat="false" ht="15" hidden="false" customHeight="false" outlineLevel="0" collapsed="false">
      <c r="A5" s="18" t="s">
        <v>342</v>
      </c>
    </row>
    <row r="6" customFormat="false" ht="15" hidden="false" customHeight="false" outlineLevel="0" collapsed="false">
      <c r="A6" s="18" t="s">
        <v>343</v>
      </c>
    </row>
    <row r="7" customFormat="false" ht="15" hidden="false" customHeight="false" outlineLevel="0" collapsed="false">
      <c r="A7" s="18" t="s">
        <v>344</v>
      </c>
    </row>
    <row r="8" customFormat="false" ht="15" hidden="false" customHeight="false" outlineLevel="0" collapsed="false">
      <c r="A8" s="18" t="s">
        <v>345</v>
      </c>
    </row>
    <row r="9" customFormat="false" ht="15" hidden="false" customHeight="false" outlineLevel="0" collapsed="false">
      <c r="A9" s="18"/>
    </row>
    <row r="10" customFormat="false" ht="16.15" hidden="false" customHeight="false" outlineLevel="0" collapsed="false">
      <c r="A10" s="1" t="s">
        <v>346</v>
      </c>
    </row>
    <row r="11" customFormat="false" ht="15" hidden="false" customHeight="false" outlineLevel="0" collapsed="false">
      <c r="A11" s="18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2026-10-07T13:54:05Z</dcterms:created>
  <dc:creator>openpyxl</dc:creator>
  <dc:description/>
  <dc:language>en-US</dc:language>
  <cp:lastModifiedBy/>
  <dcterms:modified xsi:type="dcterms:W3CDTF">2026-10-07T13:54:06Z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